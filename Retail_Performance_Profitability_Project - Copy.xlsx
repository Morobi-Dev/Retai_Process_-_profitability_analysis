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canroe.mofokeng\Downloads\Data Analysis (The journey)\Retail_Performance_Profitability_Project\"/>
    </mc:Choice>
  </mc:AlternateContent>
  <xr:revisionPtr revIDLastSave="0" documentId="13_ncr:1_{05B0CADE-2A49-4CC6-944A-2D0874A90C4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ofi by region" sheetId="10" r:id="rId1"/>
    <sheet name="prof by sal and prof" sheetId="13" r:id="rId2"/>
    <sheet name="Prod cat marg distribu" sheetId="14" r:id="rId3"/>
    <sheet name="Sheet8" sheetId="15" r:id="rId4"/>
    <sheet name="Main_Sheet" sheetId="1" r:id="rId5"/>
    <sheet name="Raw_Sheet" sheetId="2" r:id="rId6"/>
  </sheets>
  <calcPr calcId="191029"/>
  <pivotCaches>
    <pivotCache cacheId="2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8" i="1"/>
  <c r="O7" i="1"/>
  <c r="O6" i="1"/>
  <c r="O4" i="1"/>
  <c r="O5" i="1"/>
  <c r="L34" i="1"/>
  <c r="L42" i="1"/>
  <c r="L66" i="1"/>
  <c r="L74" i="1"/>
  <c r="L98" i="1"/>
  <c r="L106" i="1"/>
  <c r="L121" i="1"/>
  <c r="L122" i="1"/>
  <c r="L137" i="1"/>
  <c r="L138" i="1"/>
  <c r="L153" i="1"/>
  <c r="L154" i="1"/>
  <c r="L155" i="1"/>
  <c r="L169" i="1"/>
  <c r="L177" i="1"/>
  <c r="L178" i="1"/>
  <c r="L179" i="1"/>
  <c r="L180" i="1"/>
  <c r="L193" i="1"/>
  <c r="L194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K122" i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K138" i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K154" i="1"/>
  <c r="K155" i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K178" i="1"/>
  <c r="K179" i="1"/>
  <c r="K180" i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K194" i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" i="1"/>
  <c r="L2" i="1" s="1"/>
</calcChain>
</file>

<file path=xl/sharedStrings.xml><?xml version="1.0" encoding="utf-8"?>
<sst xmlns="http://schemas.openxmlformats.org/spreadsheetml/2006/main" count="2469" uniqueCount="397">
  <si>
    <t>OrderID</t>
  </si>
  <si>
    <t>OrderDate</t>
  </si>
  <si>
    <t>ProductCategory</t>
  </si>
  <si>
    <t>ProductName</t>
  </si>
  <si>
    <t>Region</t>
  </si>
  <si>
    <t>CustomerType</t>
  </si>
  <si>
    <t>SalesRevenue</t>
  </si>
  <si>
    <t>Cost</t>
  </si>
  <si>
    <t>MarketingSpend</t>
  </si>
  <si>
    <t>Quantity</t>
  </si>
  <si>
    <t>ORD0001</t>
  </si>
  <si>
    <t>2024-10-06</t>
  </si>
  <si>
    <t>Appliances</t>
  </si>
  <si>
    <t>Microwave</t>
  </si>
  <si>
    <t>East</t>
  </si>
  <si>
    <t>New</t>
  </si>
  <si>
    <t>ORD0002</t>
  </si>
  <si>
    <t>2024-01-04</t>
  </si>
  <si>
    <t>Electronics</t>
  </si>
  <si>
    <t>Keyboard</t>
  </si>
  <si>
    <t>Returning</t>
  </si>
  <si>
    <t>ORD0003</t>
  </si>
  <si>
    <t>Blender</t>
  </si>
  <si>
    <t>West</t>
  </si>
  <si>
    <t>ORD0004</t>
  </si>
  <si>
    <t>Furniture</t>
  </si>
  <si>
    <t>Desk</t>
  </si>
  <si>
    <t>South</t>
  </si>
  <si>
    <t>ORD0005</t>
  </si>
  <si>
    <t>2024-06-06</t>
  </si>
  <si>
    <t>Chair</t>
  </si>
  <si>
    <t>ORD0006</t>
  </si>
  <si>
    <t>2024-04-02</t>
  </si>
  <si>
    <t>ORD0007</t>
  </si>
  <si>
    <t>2024-02-05</t>
  </si>
  <si>
    <t>Toaster</t>
  </si>
  <si>
    <t>ORD0008</t>
  </si>
  <si>
    <t>2024-10-31</t>
  </si>
  <si>
    <t>North</t>
  </si>
  <si>
    <t>ORD0009</t>
  </si>
  <si>
    <t>2024-01-13</t>
  </si>
  <si>
    <t>ORD0010</t>
  </si>
  <si>
    <t>2024-11-24</t>
  </si>
  <si>
    <t>Cabinet</t>
  </si>
  <si>
    <t>ORD0011</t>
  </si>
  <si>
    <t>2024-07-11</t>
  </si>
  <si>
    <t>Laptop</t>
  </si>
  <si>
    <t>ORD0012</t>
  </si>
  <si>
    <t>2024-01-10</t>
  </si>
  <si>
    <t>ORD0013</t>
  </si>
  <si>
    <t>2024-09-07</t>
  </si>
  <si>
    <t>ORD0014</t>
  </si>
  <si>
    <t>2024-09-18</t>
  </si>
  <si>
    <t>ORD0015</t>
  </si>
  <si>
    <t>2024-09-02</t>
  </si>
  <si>
    <t>Monitor</t>
  </si>
  <si>
    <t>ORD0016</t>
  </si>
  <si>
    <t>2024-01-31</t>
  </si>
  <si>
    <t>ORD0017</t>
  </si>
  <si>
    <t>2024-02-01</t>
  </si>
  <si>
    <t>Headphones</t>
  </si>
  <si>
    <t>ORD0018</t>
  </si>
  <si>
    <t>2024-10-25</t>
  </si>
  <si>
    <t>ORD0019</t>
  </si>
  <si>
    <t>2024-08-30</t>
  </si>
  <si>
    <t>ORD0020</t>
  </si>
  <si>
    <t>ORD0021</t>
  </si>
  <si>
    <t>2024-02-23</t>
  </si>
  <si>
    <t>ORD0022</t>
  </si>
  <si>
    <t>2024-01-03</t>
  </si>
  <si>
    <t>ORD0023</t>
  </si>
  <si>
    <t>ORD0024</t>
  </si>
  <si>
    <t>2024-06-08</t>
  </si>
  <si>
    <t>ORD0025</t>
  </si>
  <si>
    <t>2024-05-26</t>
  </si>
  <si>
    <t>ORD0026</t>
  </si>
  <si>
    <t>2024-12-27</t>
  </si>
  <si>
    <t>ORD0027</t>
  </si>
  <si>
    <t>ORD0028</t>
  </si>
  <si>
    <t>2024-05-20</t>
  </si>
  <si>
    <t>ORD0029</t>
  </si>
  <si>
    <t>2024-05-29</t>
  </si>
  <si>
    <t>ORD0030</t>
  </si>
  <si>
    <t>ORD0031</t>
  </si>
  <si>
    <t>2024-08-05</t>
  </si>
  <si>
    <t>ORD0032</t>
  </si>
  <si>
    <t>ORD0033</t>
  </si>
  <si>
    <t>2024-03-05</t>
  </si>
  <si>
    <t>ORD0034</t>
  </si>
  <si>
    <t>2024-06-14</t>
  </si>
  <si>
    <t>ORD0035</t>
  </si>
  <si>
    <t>2024-06-16</t>
  </si>
  <si>
    <t>ORD0036</t>
  </si>
  <si>
    <t>2024-12-13</t>
  </si>
  <si>
    <t>ORD0037</t>
  </si>
  <si>
    <t>2024-03-20</t>
  </si>
  <si>
    <t>ORD0038</t>
  </si>
  <si>
    <t>2024-04-26</t>
  </si>
  <si>
    <t>ORD0039</t>
  </si>
  <si>
    <t>2024-04-29</t>
  </si>
  <si>
    <t>ORD0040</t>
  </si>
  <si>
    <t>2024-04-01</t>
  </si>
  <si>
    <t>ORD0041</t>
  </si>
  <si>
    <t>ORD0042</t>
  </si>
  <si>
    <t>2024-07-15</t>
  </si>
  <si>
    <t>ORD0043</t>
  </si>
  <si>
    <t>2024-01-29</t>
  </si>
  <si>
    <t>ORD0044</t>
  </si>
  <si>
    <t>2024-04-09</t>
  </si>
  <si>
    <t>ORD0045</t>
  </si>
  <si>
    <t>2024-12-08</t>
  </si>
  <si>
    <t>ORD0046</t>
  </si>
  <si>
    <t>2024-09-15</t>
  </si>
  <si>
    <t>ORD0047</t>
  </si>
  <si>
    <t>2024-11-18</t>
  </si>
  <si>
    <t>ORD0048</t>
  </si>
  <si>
    <t>2024-04-18</t>
  </si>
  <si>
    <t>ORD0049</t>
  </si>
  <si>
    <t>2024-08-08</t>
  </si>
  <si>
    <t>ORD0050</t>
  </si>
  <si>
    <t>2024-10-21</t>
  </si>
  <si>
    <t>ORD0051</t>
  </si>
  <si>
    <t>2024-11-30</t>
  </si>
  <si>
    <t>ORD0052</t>
  </si>
  <si>
    <t>2024-05-07</t>
  </si>
  <si>
    <t>ORD0053</t>
  </si>
  <si>
    <t>2024-12-16</t>
  </si>
  <si>
    <t>ORD0054</t>
  </si>
  <si>
    <t>2024-12-01</t>
  </si>
  <si>
    <t>ORD0055</t>
  </si>
  <si>
    <t>2024-07-09</t>
  </si>
  <si>
    <t>ORD0056</t>
  </si>
  <si>
    <t>2024-04-14</t>
  </si>
  <si>
    <t>ORD0057</t>
  </si>
  <si>
    <t>2024-05-19</t>
  </si>
  <si>
    <t>ORD0058</t>
  </si>
  <si>
    <t>2024-03-23</t>
  </si>
  <si>
    <t>ORD0059</t>
  </si>
  <si>
    <t>2024-07-18</t>
  </si>
  <si>
    <t>ORD0060</t>
  </si>
  <si>
    <t>2024-11-06</t>
  </si>
  <si>
    <t>ORD0061</t>
  </si>
  <si>
    <t>2024-06-18</t>
  </si>
  <si>
    <t>ORD0062</t>
  </si>
  <si>
    <t>2024-11-20</t>
  </si>
  <si>
    <t>ORD0063</t>
  </si>
  <si>
    <t>ORD0064</t>
  </si>
  <si>
    <t>2024-08-22</t>
  </si>
  <si>
    <t>ORD0065</t>
  </si>
  <si>
    <t>2024-05-25</t>
  </si>
  <si>
    <t>ORD0066</t>
  </si>
  <si>
    <t>2024-11-15</t>
  </si>
  <si>
    <t>ORD0067</t>
  </si>
  <si>
    <t>2024-04-10</t>
  </si>
  <si>
    <t>ORD0068</t>
  </si>
  <si>
    <t>2024-05-02</t>
  </si>
  <si>
    <t>ORD0069</t>
  </si>
  <si>
    <t>2024-08-23</t>
  </si>
  <si>
    <t>ORD0070</t>
  </si>
  <si>
    <t>2024-02-07</t>
  </si>
  <si>
    <t>ORD0071</t>
  </si>
  <si>
    <t>2024-02-22</t>
  </si>
  <si>
    <t>ORD0072</t>
  </si>
  <si>
    <t>2024-07-28</t>
  </si>
  <si>
    <t>ORD0073</t>
  </si>
  <si>
    <t>2024-05-28</t>
  </si>
  <si>
    <t>ORD0074</t>
  </si>
  <si>
    <t>2024-10-03</t>
  </si>
  <si>
    <t>ORD0075</t>
  </si>
  <si>
    <t>2024-07-13</t>
  </si>
  <si>
    <t>ORD0076</t>
  </si>
  <si>
    <t>2024-08-07</t>
  </si>
  <si>
    <t>ORD0077</t>
  </si>
  <si>
    <t>2024-08-16</t>
  </si>
  <si>
    <t>ORD0078</t>
  </si>
  <si>
    <t>2024-02-03</t>
  </si>
  <si>
    <t>ORD0079</t>
  </si>
  <si>
    <t>2024-03-10</t>
  </si>
  <si>
    <t>ORD0080</t>
  </si>
  <si>
    <t>ORD0081</t>
  </si>
  <si>
    <t>2024-10-09</t>
  </si>
  <si>
    <t>ORD0082</t>
  </si>
  <si>
    <t>2024-01-16</t>
  </si>
  <si>
    <t>ORD0083</t>
  </si>
  <si>
    <t>2024-06-09</t>
  </si>
  <si>
    <t>ORD0084</t>
  </si>
  <si>
    <t>2024-10-23</t>
  </si>
  <si>
    <t>ORD0085</t>
  </si>
  <si>
    <t>2024-11-22</t>
  </si>
  <si>
    <t>ORD0086</t>
  </si>
  <si>
    <t>2024-09-30</t>
  </si>
  <si>
    <t>ORD0087</t>
  </si>
  <si>
    <t>2024-09-19</t>
  </si>
  <si>
    <t>ORD0088</t>
  </si>
  <si>
    <t>2024-02-08</t>
  </si>
  <si>
    <t>ORD0089</t>
  </si>
  <si>
    <t>2024-02-10</t>
  </si>
  <si>
    <t>ORD0090</t>
  </si>
  <si>
    <t>2024-01-28</t>
  </si>
  <si>
    <t>ORD0091</t>
  </si>
  <si>
    <t>2024-06-13</t>
  </si>
  <si>
    <t>ORD0092</t>
  </si>
  <si>
    <t>2024-10-28</t>
  </si>
  <si>
    <t>ORD0093</t>
  </si>
  <si>
    <t>2024-02-27</t>
  </si>
  <si>
    <t>ORD0094</t>
  </si>
  <si>
    <t>ORD0095</t>
  </si>
  <si>
    <t>ORD0096</t>
  </si>
  <si>
    <t>2024-07-30</t>
  </si>
  <si>
    <t>ORD0097</t>
  </si>
  <si>
    <t>2024-01-23</t>
  </si>
  <si>
    <t>ORD0098</t>
  </si>
  <si>
    <t>ORD0099</t>
  </si>
  <si>
    <t>2024-12-28</t>
  </si>
  <si>
    <t>ORD0100</t>
  </si>
  <si>
    <t>ORD0101</t>
  </si>
  <si>
    <t>2024-01-12</t>
  </si>
  <si>
    <t>ORD0102</t>
  </si>
  <si>
    <t>2024-05-17</t>
  </si>
  <si>
    <t>ORD0103</t>
  </si>
  <si>
    <t>2024-07-23</t>
  </si>
  <si>
    <t>ORD0104</t>
  </si>
  <si>
    <t>ORD0105</t>
  </si>
  <si>
    <t>2024-11-01</t>
  </si>
  <si>
    <t>ORD0106</t>
  </si>
  <si>
    <t>2024-10-15</t>
  </si>
  <si>
    <t>ORD0107</t>
  </si>
  <si>
    <t>ORD0108</t>
  </si>
  <si>
    <t>2024-07-03</t>
  </si>
  <si>
    <t>ORD0109</t>
  </si>
  <si>
    <t>2024-05-01</t>
  </si>
  <si>
    <t>ORD0110</t>
  </si>
  <si>
    <t>ORD0111</t>
  </si>
  <si>
    <t>2024-03-09</t>
  </si>
  <si>
    <t>ORD0112</t>
  </si>
  <si>
    <t>ORD0113</t>
  </si>
  <si>
    <t>2024-01-01</t>
  </si>
  <si>
    <t>ORD0114</t>
  </si>
  <si>
    <t>2024-09-06</t>
  </si>
  <si>
    <t>ORD0115</t>
  </si>
  <si>
    <t>2024-04-16</t>
  </si>
  <si>
    <t>ORD0116</t>
  </si>
  <si>
    <t>2024-02-02</t>
  </si>
  <si>
    <t>ORD0117</t>
  </si>
  <si>
    <t>ORD0118</t>
  </si>
  <si>
    <t>2024-03-15</t>
  </si>
  <si>
    <t>ORD0119</t>
  </si>
  <si>
    <t>2024-04-05</t>
  </si>
  <si>
    <t>ORD0120</t>
  </si>
  <si>
    <t>2024-12-19</t>
  </si>
  <si>
    <t>ORD0121</t>
  </si>
  <si>
    <t>2024-10-22</t>
  </si>
  <si>
    <t>ORD0122</t>
  </si>
  <si>
    <t>ORD0123</t>
  </si>
  <si>
    <t>ORD0124</t>
  </si>
  <si>
    <t>2024-06-28</t>
  </si>
  <si>
    <t>ORD0125</t>
  </si>
  <si>
    <t>2024-08-21</t>
  </si>
  <si>
    <t>ORD0126</t>
  </si>
  <si>
    <t>2024-09-23</t>
  </si>
  <si>
    <t>ORD0127</t>
  </si>
  <si>
    <t>ORD0128</t>
  </si>
  <si>
    <t>2024-11-08</t>
  </si>
  <si>
    <t>ORD0129</t>
  </si>
  <si>
    <t>2024-12-11</t>
  </si>
  <si>
    <t>ORD0130</t>
  </si>
  <si>
    <t>2024-01-19</t>
  </si>
  <si>
    <t>ORD0131</t>
  </si>
  <si>
    <t>ORD0132</t>
  </si>
  <si>
    <t>ORD0133</t>
  </si>
  <si>
    <t>2024-05-31</t>
  </si>
  <si>
    <t>ORD0134</t>
  </si>
  <si>
    <t>2024-09-25</t>
  </si>
  <si>
    <t>ORD0135</t>
  </si>
  <si>
    <t>2024-08-03</t>
  </si>
  <si>
    <t>ORD0136</t>
  </si>
  <si>
    <t>ORD0137</t>
  </si>
  <si>
    <t>ORD0138</t>
  </si>
  <si>
    <t>2024-11-27</t>
  </si>
  <si>
    <t>ORD0139</t>
  </si>
  <si>
    <t>2024-09-08</t>
  </si>
  <si>
    <t>ORD0140</t>
  </si>
  <si>
    <t>2024-06-21</t>
  </si>
  <si>
    <t>ORD0141</t>
  </si>
  <si>
    <t>ORD0142</t>
  </si>
  <si>
    <t>2024-01-22</t>
  </si>
  <si>
    <t>ORD0143</t>
  </si>
  <si>
    <t>ORD0144</t>
  </si>
  <si>
    <t>2024-06-12</t>
  </si>
  <si>
    <t>ORD0145</t>
  </si>
  <si>
    <t>2024-07-16</t>
  </si>
  <si>
    <t>ORD0146</t>
  </si>
  <si>
    <t>2024-03-17</t>
  </si>
  <si>
    <t>ORD0147</t>
  </si>
  <si>
    <t>ORD0148</t>
  </si>
  <si>
    <t>ORD0149</t>
  </si>
  <si>
    <t>2024-09-28</t>
  </si>
  <si>
    <t>ORD0150</t>
  </si>
  <si>
    <t>2024-10-13</t>
  </si>
  <si>
    <t>ORD0151</t>
  </si>
  <si>
    <t>2024-12-14</t>
  </si>
  <si>
    <t>ORD0152</t>
  </si>
  <si>
    <t>2024-09-10</t>
  </si>
  <si>
    <t>ORD0153</t>
  </si>
  <si>
    <t>ORD0154</t>
  </si>
  <si>
    <t>ORD0155</t>
  </si>
  <si>
    <t>2024-11-07</t>
  </si>
  <si>
    <t>ORD0156</t>
  </si>
  <si>
    <t>2024-01-05</t>
  </si>
  <si>
    <t>ORD0157</t>
  </si>
  <si>
    <t>2024-05-08</t>
  </si>
  <si>
    <t>ORD0158</t>
  </si>
  <si>
    <t>2024-02-12</t>
  </si>
  <si>
    <t>ORD0159</t>
  </si>
  <si>
    <t>2024-12-31</t>
  </si>
  <si>
    <t>ORD0160</t>
  </si>
  <si>
    <t>2024-11-19</t>
  </si>
  <si>
    <t>ORD0161</t>
  </si>
  <si>
    <t>ORD0162</t>
  </si>
  <si>
    <t>2024-08-25</t>
  </si>
  <si>
    <t>ORD0163</t>
  </si>
  <si>
    <t>ORD0164</t>
  </si>
  <si>
    <t>ORD0165</t>
  </si>
  <si>
    <t>2024-09-01</t>
  </si>
  <si>
    <t>ORD0166</t>
  </si>
  <si>
    <t>2024-03-16</t>
  </si>
  <si>
    <t>ORD0167</t>
  </si>
  <si>
    <t>2024-03-22</t>
  </si>
  <si>
    <t>ORD0168</t>
  </si>
  <si>
    <t>2024-05-30</t>
  </si>
  <si>
    <t>ORD0169</t>
  </si>
  <si>
    <t>2024-09-09</t>
  </si>
  <si>
    <t>ORD0170</t>
  </si>
  <si>
    <t>2024-05-09</t>
  </si>
  <si>
    <t>ORD0171</t>
  </si>
  <si>
    <t>2024-05-06</t>
  </si>
  <si>
    <t>ORD0172</t>
  </si>
  <si>
    <t>ORD0173</t>
  </si>
  <si>
    <t>2024-12-26</t>
  </si>
  <si>
    <t>ORD0174</t>
  </si>
  <si>
    <t>2024-12-04</t>
  </si>
  <si>
    <t>ORD0175</t>
  </si>
  <si>
    <t>2024-10-12</t>
  </si>
  <si>
    <t>ORD0176</t>
  </si>
  <si>
    <t>ORD0177</t>
  </si>
  <si>
    <t>2024-12-02</t>
  </si>
  <si>
    <t>ORD0178</t>
  </si>
  <si>
    <t>ORD0179</t>
  </si>
  <si>
    <t>2024-02-13</t>
  </si>
  <si>
    <t>ORD0180</t>
  </si>
  <si>
    <t>2024-07-27</t>
  </si>
  <si>
    <t>ORD0181</t>
  </si>
  <si>
    <t>ORD0182</t>
  </si>
  <si>
    <t>2024-07-31</t>
  </si>
  <si>
    <t>ORD0183</t>
  </si>
  <si>
    <t>2024-03-26</t>
  </si>
  <si>
    <t>ORD0184</t>
  </si>
  <si>
    <t>ORD0185</t>
  </si>
  <si>
    <t>ORD0186</t>
  </si>
  <si>
    <t>2024-02-15</t>
  </si>
  <si>
    <t>ORD0187</t>
  </si>
  <si>
    <t>ORD0188</t>
  </si>
  <si>
    <t>2024-11-26</t>
  </si>
  <si>
    <t>ORD0189</t>
  </si>
  <si>
    <t>ORD0190</t>
  </si>
  <si>
    <t>ORD0191</t>
  </si>
  <si>
    <t>ORD0192</t>
  </si>
  <si>
    <t>2024-11-10</t>
  </si>
  <si>
    <t>ORD0193</t>
  </si>
  <si>
    <t>ORD0194</t>
  </si>
  <si>
    <t>ORD0195</t>
  </si>
  <si>
    <t>ORD0196</t>
  </si>
  <si>
    <t>2024-12-18</t>
  </si>
  <si>
    <t>ORD0197</t>
  </si>
  <si>
    <t>2024-03-12</t>
  </si>
  <si>
    <t>ORD0198</t>
  </si>
  <si>
    <t>2024-12-24</t>
  </si>
  <si>
    <t>ORD0199</t>
  </si>
  <si>
    <t>2024-08-14</t>
  </si>
  <si>
    <t>ORD0200</t>
  </si>
  <si>
    <t>Profit</t>
  </si>
  <si>
    <t>ProfitMargin</t>
  </si>
  <si>
    <t>Total Cost</t>
  </si>
  <si>
    <t>KPI</t>
  </si>
  <si>
    <t>Value</t>
  </si>
  <si>
    <t>Total Revenue</t>
  </si>
  <si>
    <t>Total Profit</t>
  </si>
  <si>
    <t>Marketing ROI</t>
  </si>
  <si>
    <t>Total Marketing SPend</t>
  </si>
  <si>
    <t>Average Profit Margin</t>
  </si>
  <si>
    <t>Row Labels</t>
  </si>
  <si>
    <t>Grand Total</t>
  </si>
  <si>
    <t>Sum of SalesRevenue</t>
  </si>
  <si>
    <t>Sum of Profit</t>
  </si>
  <si>
    <t>Sum of ProfitMargin</t>
  </si>
  <si>
    <t>(blank)</t>
  </si>
  <si>
    <t>Sum of MarketingSpend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</si>
</sst>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44" fontId="2" fillId="0" borderId="0" xfId="1" applyFont="1"/>
    <xf numFmtId="44" fontId="0" fillId="0" borderId="0" xfId="1" applyFont="1"/>
    <xf numFmtId="44" fontId="0" fillId="0" borderId="0" xfId="0" applyNumberFormat="1"/>
    <xf numFmtId="10" fontId="0" fillId="0" borderId="0" xfId="0" applyNumberFormat="1"/>
    <xf numFmtId="44" fontId="2" fillId="0" borderId="0" xfId="0" applyNumberFormat="1" applyFont="1"/>
    <xf numFmtId="9" fontId="2" fillId="0" borderId="0" xfId="1" applyNumberFormat="1" applyFont="1"/>
    <xf numFmtId="10" fontId="2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4"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[Retail_Performance_Profitability_Project - Copy.xlsx]Pofi by region!PivotTable3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'Pofi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'Pofi by region'!$A$4:$A$9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'Pofi by region'!$B$4:$B$9</c:f>
              <c:numCache>
                <c:formatCode>General</c:formatCode>
                <c:ptCount val="5"/>
                <c:pt idx="0">
                  <c:v>15.287309064491875</c:v>
                </c:pt>
                <c:pt idx="1">
                  <c:v>19.455280499468191</c:v>
                </c:pt>
                <c:pt idx="2">
                  <c:v>15.160073530178135</c:v>
                </c:pt>
                <c:pt idx="3">
                  <c:v>14.104004107197284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D-4E27-99AE-752B9D74D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2237936"/>
        <c:axId val="1972239376"/>
        <c:axId val="0"/>
      </c:bar3DChart>
      <c:catAx>
        <c:axId val="197223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239376"/>
        <c:crosses val="autoZero"/>
        <c:auto val="1"/>
        <c:lblAlgn val="ctr"/>
        <c:lblOffset val="100"/>
        <c:noMultiLvlLbl val="0"/>
      </c:catAx>
      <c:valAx>
        <c:axId val="197223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23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[Retail_Performance_Profitability_Project - Copy.xlsx]prof by sal and prof!PivotTable6</c:name>
    <c:fmtId val="3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 by sal and prof'!$B$3</c:f>
              <c:strCache>
                <c:ptCount val="1"/>
                <c:pt idx="0">
                  <c:v>Sum of SalesRevenue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 by sal and prof'!$A$4:$A$6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'prof by sal and prof'!$B$4:$B$6</c:f>
              <c:numCache>
                <c:formatCode>General</c:formatCode>
                <c:ptCount val="2"/>
                <c:pt idx="0">
                  <c:v>754380.67</c:v>
                </c:pt>
                <c:pt idx="1">
                  <c:v>829146.95999999973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F-4C34-A060-9BC7481439B9}"/>
            </c:ext>
          </c:extLst>
        </c:ser>
        <c:ser>
          <c:idx val="1"/>
          <c:order val="1"/>
          <c:tx>
            <c:strRef>
              <c:f>'prof by sal and prof'!$C$3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 by sal and prof'!$A$4:$A$6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'prof by sal and prof'!$C$4:$C$6</c:f>
              <c:numCache>
                <c:formatCode>General</c:formatCode>
                <c:ptCount val="2"/>
                <c:pt idx="0">
                  <c:v>256547.16000000015</c:v>
                </c:pt>
                <c:pt idx="1">
                  <c:v>256799.07000000004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AF-4C34-A060-9BC748143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363216"/>
        <c:axId val="1819364656"/>
      </c:barChart>
      <c:catAx>
        <c:axId val="181936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64656"/>
        <c:crosses val="autoZero"/>
        <c:auto val="1"/>
        <c:lblAlgn val="ctr"/>
        <c:lblOffset val="100"/>
        <c:noMultiLvlLbl val="0"/>
      </c:catAx>
      <c:valAx>
        <c:axId val="181936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[Retail_Performance_Profitability_Project - Copy.xlsx]Prod cat marg distribu!PivotTable7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 cat marg distribu'!$B$3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'Prod cat marg distribu'!$A$4:$A$19</c:f>
              <c:multiLvlStrCache>
                <c:ptCount val="12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Appliances</c:v>
                  </c:pt>
                  <c:pt idx="4">
                    <c:v>Electronics</c:v>
                  </c:pt>
                  <c:pt idx="8">
                    <c:v>Furniture</c:v>
                  </c:pt>
                </c:lvl>
              </c:multiLvlStrCache>
            </c:multiLvlStrRef>
          </c:cat>
          <c:val>
            <c:numRef>
              <c:f>'Prod cat marg distribu'!$B$4:$B$19</c:f>
              <c:numCache>
                <c:formatCode>General</c:formatCode>
                <c:ptCount val="12"/>
                <c:pt idx="0">
                  <c:v>5.114336924282652</c:v>
                </c:pt>
                <c:pt idx="1">
                  <c:v>6.7942939571748742</c:v>
                </c:pt>
                <c:pt idx="2">
                  <c:v>5.3167988114513793</c:v>
                </c:pt>
                <c:pt idx="3">
                  <c:v>3.7405202683617755</c:v>
                </c:pt>
                <c:pt idx="4">
                  <c:v>4.9034713063967352</c:v>
                </c:pt>
                <c:pt idx="5">
                  <c:v>6.3784260728777529</c:v>
                </c:pt>
                <c:pt idx="6">
                  <c:v>4.0037772748886207</c:v>
                </c:pt>
                <c:pt idx="7">
                  <c:v>3.346733487972092</c:v>
                </c:pt>
                <c:pt idx="8">
                  <c:v>5.2695008338124856</c:v>
                </c:pt>
                <c:pt idx="9">
                  <c:v>6.282560469415567</c:v>
                </c:pt>
                <c:pt idx="10">
                  <c:v>5.839497443838134</c:v>
                </c:pt>
                <c:pt idx="11">
                  <c:v>7.0167503508634166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3-41CB-B804-795BE9FBF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9989712"/>
        <c:axId val="2009990192"/>
      </c:barChart>
      <c:catAx>
        <c:axId val="200998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90192"/>
        <c:crosses val="autoZero"/>
        <c:auto val="1"/>
        <c:lblAlgn val="ctr"/>
        <c:lblOffset val="100"/>
        <c:noMultiLvlLbl val="0"/>
      </c:catAx>
      <c:valAx>
        <c:axId val="200999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98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[Retail_Performance_Profitability_Project - Copy.xlsx]Sheet8!PivotTable8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Sum of MarketingSpend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18637.680000000004</c:v>
                </c:pt>
                <c:pt idx="1">
                  <c:v>17224.540000000005</c:v>
                </c:pt>
                <c:pt idx="2">
                  <c:v>20915.710000000003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E-47B6-A493-324B15961970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Sheet8!$A$4:$A$7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Sheet8!$C$4:$C$7</c:f>
              <c:numCache>
                <c:formatCode>General</c:formatCode>
                <c:ptCount val="3"/>
                <c:pt idx="0">
                  <c:v>166518.78999999998</c:v>
                </c:pt>
                <c:pt idx="1">
                  <c:v>148328.99</c:v>
                </c:pt>
                <c:pt idx="2">
                  <c:v>198498.44999999995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5E-47B6-A493-324B15961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77150560"/>
        <c:axId val="1977151040"/>
      </c:barChart>
      <c:catAx>
        <c:axId val="197715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151040"/>
        <c:crosses val="autoZero"/>
        <c:auto val="1"/>
        <c:lblAlgn val="ctr"/>
        <c:lblOffset val="100"/>
        <c:noMultiLvlLbl val="0"/>
      </c:catAx>
      <c:valAx>
        <c:axId val="197715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15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3</xdr:row>
      <xdr:rowOff>83820</xdr:rowOff>
    </xdr:from>
    <xdr:to>
      <xdr:col>13</xdr:col>
      <xdr:colOff>160020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05B449-6230-C07B-9CF5-A062EB944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5</xdr:row>
      <xdr:rowOff>160020</xdr:rowOff>
    </xdr:from>
    <xdr:to>
      <xdr:col>11</xdr:col>
      <xdr:colOff>594360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7C33E4-5BF8-5C2B-5375-303860828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4</xdr:row>
      <xdr:rowOff>0</xdr:rowOff>
    </xdr:from>
    <xdr:to>
      <xdr:col>14</xdr:col>
      <xdr:colOff>22860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BE2C8-9222-467B-DE44-D316FEE33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586740</xdr:colOff>
      <xdr:row>4</xdr:row>
      <xdr:rowOff>163830</xdr:rowOff>
    </xdr:from>
    <xdr:to>
      <xdr:col>11</xdr:col>
      <xdr:colOff>594360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E2822-D270-CA30-EBB9-5F284E863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anroe Mofokeng" refreshedDate="46078.450905555554" createdVersion="8" refreshedVersion="8" minRefreshableVersion="3" recordCount="201" xr:uid="{BEE03BDB-BF3E-43B4-9F09-2A1CB9F229D6}">
  <cacheSource type="worksheet">
    <worksheetSource ref="A1:L1048576" sheet="Main_Sheet"/>
  </cacheSource>
  <cacheFields count="12">
    <cacheField name="OrderID" numFmtId="0">
      <sharedItems containsBlank="1"/>
    </cacheField>
    <cacheField name="OrderDate" numFmtId="0">
      <sharedItems containsBlank="1"/>
    </cacheField>
    <cacheField name="ProductCategory" numFmtId="0">
      <sharedItems containsBlank="1" count="4">
        <s v="Appliances"/>
        <s v="Electronics"/>
        <s v="Furniture"/>
        <m/>
      </sharedItems>
    </cacheField>
    <cacheField name="ProductName" numFmtId="0">
      <sharedItems containsBlank="1"/>
    </cacheField>
    <cacheField name="Region" numFmtId="0">
      <sharedItems containsBlank="1" count="5">
        <s v="East"/>
        <s v="West"/>
        <s v="South"/>
        <s v="North"/>
        <m/>
      </sharedItems>
    </cacheField>
    <cacheField name="CustomerType" numFmtId="0">
      <sharedItems containsBlank="1" count="3">
        <s v="New"/>
        <s v="Returning"/>
        <m/>
      </sharedItems>
    </cacheField>
    <cacheField name="SalesRevenue" numFmtId="44">
      <sharedItems containsString="0" containsBlank="1" containsNumber="1" minValue="243.99" maxValue="24940.2"/>
    </cacheField>
    <cacheField name="Cost" numFmtId="44">
      <sharedItems containsString="0" containsBlank="1" containsNumber="1" minValue="181.76" maxValue="21026.16"/>
    </cacheField>
    <cacheField name="MarketingSpend" numFmtId="44">
      <sharedItems containsString="0" containsBlank="1" containsNumber="1" minValue="50.13" maxValue="498.47" count="200">
        <n v="153.46"/>
        <n v="231.08"/>
        <n v="159.52000000000001"/>
        <n v="486.53"/>
        <n v="216.57"/>
        <n v="132.76"/>
        <n v="416.78"/>
        <n v="194.94"/>
        <n v="320.77999999999997"/>
        <n v="108.55"/>
        <n v="253.64"/>
        <n v="165.63"/>
        <n v="354.35"/>
        <n v="207.53"/>
        <n v="319.5"/>
        <n v="85.74"/>
        <n v="192.49"/>
        <n v="410.35"/>
        <n v="282.70999999999998"/>
        <n v="439.23"/>
        <n v="265.01"/>
        <n v="86.39"/>
        <n v="437.78"/>
        <n v="496.07"/>
        <n v="107.47"/>
        <n v="473.41"/>
        <n v="246.56"/>
        <n v="204.37"/>
        <n v="384.68"/>
        <n v="295.83999999999997"/>
        <n v="359.09"/>
        <n v="354.48"/>
        <n v="228.09"/>
        <n v="53.47"/>
        <n v="285.64999999999998"/>
        <n v="117.13"/>
        <n v="124.9"/>
        <n v="475.34"/>
        <n v="182.76"/>
        <n v="484.91"/>
        <n v="322.27"/>
        <n v="460.33"/>
        <n v="195.06"/>
        <n v="471.35"/>
        <n v="374.01"/>
        <n v="486.13"/>
        <n v="406.92"/>
        <n v="342.21"/>
        <n v="62.84"/>
        <n v="318.35000000000002"/>
        <n v="343.11"/>
        <n v="160.55000000000001"/>
        <n v="497.29"/>
        <n v="346.25"/>
        <n v="325.42"/>
        <n v="312.18"/>
        <n v="117.7"/>
        <n v="250.89"/>
        <n v="160.36000000000001"/>
        <n v="469.05"/>
        <n v="312.62"/>
        <n v="109.82"/>
        <n v="120.79"/>
        <n v="134.29"/>
        <n v="118.95"/>
        <n v="51.38"/>
        <n v="96.19"/>
        <n v="197.94"/>
        <n v="306.45"/>
        <n v="487.71"/>
        <n v="424.39"/>
        <n v="447.01"/>
        <n v="139.71"/>
        <n v="474.09"/>
        <n v="264.64"/>
        <n v="337.01"/>
        <n v="470.68"/>
        <n v="304.10000000000002"/>
        <n v="74.459999999999994"/>
        <n v="214.01"/>
        <n v="153.41"/>
        <n v="285.61"/>
        <n v="166.67"/>
        <n v="204.94"/>
        <n v="400.88"/>
        <n v="174.09"/>
        <n v="361.71"/>
        <n v="283.32"/>
        <n v="463.9"/>
        <n v="488.51"/>
        <n v="302.35000000000002"/>
        <n v="399.79"/>
        <n v="268.83"/>
        <n v="305.02"/>
        <n v="227.53"/>
        <n v="474.28"/>
        <n v="250.68"/>
        <n v="213.21"/>
        <n v="404.25"/>
        <n v="83.66"/>
        <n v="51.75"/>
        <n v="405.97"/>
        <n v="491.87"/>
        <n v="496.68"/>
        <n v="199.85"/>
        <n v="149.08000000000001"/>
        <n v="134.63"/>
        <n v="209.2"/>
        <n v="54.59"/>
        <n v="434.6"/>
        <n v="342.91"/>
        <n v="108.2"/>
        <n v="471.3"/>
        <n v="434.69"/>
        <n v="431.22"/>
        <n v="445.39"/>
        <n v="322.37"/>
        <n v="207.07"/>
        <n v="50.13"/>
        <n v="483.93"/>
        <n v="490.86"/>
        <n v="410.93"/>
        <n v="444.17"/>
        <n v="455.01"/>
        <n v="251.69"/>
        <n v="92.54"/>
        <n v="498.47"/>
        <n v="305.64999999999998"/>
        <n v="186.04"/>
        <n v="494.01"/>
        <n v="254.77"/>
        <n v="335.26"/>
        <n v="213.11"/>
        <n v="154.91999999999999"/>
        <n v="242.81"/>
        <n v="378.24"/>
        <n v="460.66"/>
        <n v="451"/>
        <n v="176.84"/>
        <n v="316.18"/>
        <n v="121.02"/>
        <n v="262.92"/>
        <n v="215.12"/>
        <n v="439.82"/>
        <n v="142.91"/>
        <n v="322.13"/>
        <n v="69.5"/>
        <n v="237.93"/>
        <n v="180.01"/>
        <n v="144.26"/>
        <n v="157"/>
        <n v="79.67"/>
        <n v="319.39999999999998"/>
        <n v="72.11"/>
        <n v="323.27999999999997"/>
        <n v="246.71"/>
        <n v="374"/>
        <n v="255.33"/>
        <n v="470.54"/>
        <n v="242.78"/>
        <n v="490.02"/>
        <n v="161.19999999999999"/>
        <n v="411.09"/>
        <n v="290.95999999999998"/>
        <n v="361.23"/>
        <n v="274.31"/>
        <n v="398.83"/>
        <n v="75.02"/>
        <n v="445.86"/>
        <n v="89.09"/>
        <n v="151.19"/>
        <n v="209.57"/>
        <n v="218.86"/>
        <n v="118.15"/>
        <n v="465.82"/>
        <n v="80.48"/>
        <n v="195.83"/>
        <n v="74.010000000000005"/>
        <n v="460.5"/>
        <n v="483.79"/>
        <n v="394.02"/>
        <n v="316.37"/>
        <n v="73.95"/>
        <n v="107.5"/>
        <n v="435.45"/>
        <n v="182.39"/>
        <n v="71.28"/>
        <n v="288.58999999999997"/>
        <n v="476.46"/>
        <n v="373.63"/>
        <n v="211.59"/>
        <n v="357.42"/>
        <n v="367.11"/>
        <n v="411.89"/>
        <n v="427.04"/>
        <n v="273.2"/>
        <n v="448.29"/>
        <n v="202.34"/>
        <n v="166.86"/>
        <m/>
      </sharedItems>
    </cacheField>
    <cacheField name="Quantity" numFmtId="0">
      <sharedItems containsString="0" containsBlank="1" containsNumber="1" containsInteger="1" minValue="1" maxValue="5"/>
    </cacheField>
    <cacheField name="Profit" numFmtId="0">
      <sharedItems containsString="0" containsBlank="1" containsNumber="1" minValue="62.230000000000018" maxValue="10439.999999999998"/>
    </cacheField>
    <cacheField name="ProfitMargin" numFmtId="0">
      <sharedItems containsString="0" containsBlank="1" containsNumber="1" minValue="0.15008190008190003" maxValue="0.495796583854722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ORD0001"/>
    <s v="2024-10-06"/>
    <x v="0"/>
    <s v="Microwave"/>
    <x v="0"/>
    <x v="0"/>
    <n v="8835.44"/>
    <n v="6473.07"/>
    <x v="0"/>
    <n v="2"/>
    <n v="2362.3700000000008"/>
    <n v="0.26737434694819961"/>
  </r>
  <r>
    <s v="ORD0002"/>
    <s v="2024-01-04"/>
    <x v="1"/>
    <s v="Keyboard"/>
    <x v="0"/>
    <x v="1"/>
    <n v="6094.5"/>
    <n v="3491.74"/>
    <x v="1"/>
    <n v="5"/>
    <n v="2602.7600000000002"/>
    <n v="0.42706702764787929"/>
  </r>
  <r>
    <s v="ORD0003"/>
    <s v="2024-10-06"/>
    <x v="0"/>
    <s v="Blender"/>
    <x v="1"/>
    <x v="1"/>
    <n v="17535.240000000002"/>
    <n v="10952.95"/>
    <x v="2"/>
    <n v="4"/>
    <n v="6582.2900000000009"/>
    <n v="0.37537495922496644"/>
  </r>
  <r>
    <s v="ORD0004"/>
    <s v="2024-01-04"/>
    <x v="2"/>
    <s v="Desk"/>
    <x v="2"/>
    <x v="1"/>
    <n v="3141.96"/>
    <n v="2432.23"/>
    <x v="3"/>
    <n v="4"/>
    <n v="709.73"/>
    <n v="0.22588766247819833"/>
  </r>
  <r>
    <s v="ORD0005"/>
    <s v="2024-06-06"/>
    <x v="2"/>
    <s v="Chair"/>
    <x v="2"/>
    <x v="1"/>
    <n v="9719.76"/>
    <n v="7979.42"/>
    <x v="4"/>
    <n v="3"/>
    <n v="1740.3400000000001"/>
    <n v="0.17905174613364941"/>
  </r>
  <r>
    <s v="ORD0006"/>
    <s v="2024-04-02"/>
    <x v="2"/>
    <s v="Chair"/>
    <x v="0"/>
    <x v="0"/>
    <n v="3587.64"/>
    <n v="2773.83"/>
    <x v="5"/>
    <n v="2"/>
    <n v="813.81"/>
    <n v="0.22683714085025253"/>
  </r>
  <r>
    <s v="ORD0007"/>
    <s v="2024-02-05"/>
    <x v="0"/>
    <s v="Toaster"/>
    <x v="0"/>
    <x v="0"/>
    <n v="2348.73"/>
    <n v="1535.94"/>
    <x v="6"/>
    <n v="1"/>
    <n v="812.79"/>
    <n v="0.34605510211901747"/>
  </r>
  <r>
    <s v="ORD0008"/>
    <s v="2024-10-31"/>
    <x v="2"/>
    <s v="Desk"/>
    <x v="3"/>
    <x v="1"/>
    <n v="6967.32"/>
    <n v="5733.88"/>
    <x v="7"/>
    <n v="4"/>
    <n v="1233.4399999999996"/>
    <n v="0.17703220176481052"/>
  </r>
  <r>
    <s v="ORD0009"/>
    <s v="2024-01-13"/>
    <x v="2"/>
    <s v="Chair"/>
    <x v="3"/>
    <x v="0"/>
    <n v="9073.6200000000008"/>
    <n v="7566.68"/>
    <x v="8"/>
    <n v="2"/>
    <n v="1506.9400000000005"/>
    <n v="0.16607924951673095"/>
  </r>
  <r>
    <s v="ORD0010"/>
    <s v="2024-11-24"/>
    <x v="2"/>
    <s v="Cabinet"/>
    <x v="2"/>
    <x v="0"/>
    <n v="10838.05"/>
    <n v="8335.31"/>
    <x v="9"/>
    <n v="5"/>
    <n v="2502.7399999999998"/>
    <n v="0.23092161412800272"/>
  </r>
  <r>
    <s v="ORD0011"/>
    <s v="2024-07-11"/>
    <x v="1"/>
    <s v="Laptop"/>
    <x v="3"/>
    <x v="1"/>
    <n v="3606.22"/>
    <n v="2763.52"/>
    <x v="10"/>
    <n v="1"/>
    <n v="842.69999999999982"/>
    <n v="0.23367958693590515"/>
  </r>
  <r>
    <s v="ORD0012"/>
    <s v="2024-01-10"/>
    <x v="2"/>
    <s v="Desk"/>
    <x v="1"/>
    <x v="0"/>
    <n v="4257.4399999999996"/>
    <n v="2733.42"/>
    <x v="11"/>
    <n v="2"/>
    <n v="1524.0199999999995"/>
    <n v="0.35796628960126264"/>
  </r>
  <r>
    <s v="ORD0013"/>
    <s v="2024-09-07"/>
    <x v="1"/>
    <s v="Laptop"/>
    <x v="2"/>
    <x v="1"/>
    <n v="1382.52"/>
    <n v="781.7"/>
    <x v="12"/>
    <n v="1"/>
    <n v="600.81999999999994"/>
    <n v="0.43458322483580702"/>
  </r>
  <r>
    <s v="ORD0014"/>
    <s v="2024-09-18"/>
    <x v="0"/>
    <s v="Microwave"/>
    <x v="3"/>
    <x v="0"/>
    <n v="2059.23"/>
    <n v="1239.07"/>
    <x v="13"/>
    <n v="1"/>
    <n v="820.16000000000008"/>
    <n v="0.39828479577317738"/>
  </r>
  <r>
    <s v="ORD0015"/>
    <s v="2024-09-02"/>
    <x v="1"/>
    <s v="Monitor"/>
    <x v="3"/>
    <x v="1"/>
    <n v="19759.96"/>
    <n v="16056.05"/>
    <x v="14"/>
    <n v="4"/>
    <n v="3703.91"/>
    <n v="0.1874452175004403"/>
  </r>
  <r>
    <s v="ORD0016"/>
    <s v="2024-01-31"/>
    <x v="0"/>
    <s v="Microwave"/>
    <x v="1"/>
    <x v="1"/>
    <n v="3333"/>
    <n v="2489.5300000000002"/>
    <x v="15"/>
    <n v="2"/>
    <n v="843.4699999999998"/>
    <n v="0.25306630663066298"/>
  </r>
  <r>
    <s v="ORD0017"/>
    <s v="2024-02-01"/>
    <x v="1"/>
    <s v="Headphones"/>
    <x v="0"/>
    <x v="0"/>
    <n v="3206.44"/>
    <n v="2348.7399999999998"/>
    <x v="16"/>
    <n v="1"/>
    <n v="857.70000000000027"/>
    <n v="0.26749292049749884"/>
  </r>
  <r>
    <s v="ORD0018"/>
    <s v="2024-10-25"/>
    <x v="0"/>
    <s v="Toaster"/>
    <x v="2"/>
    <x v="1"/>
    <n v="7149.96"/>
    <n v="5428.6"/>
    <x v="17"/>
    <n v="3"/>
    <n v="1721.3599999999997"/>
    <n v="0.24075099720837595"/>
  </r>
  <r>
    <s v="ORD0019"/>
    <s v="2024-08-30"/>
    <x v="1"/>
    <s v="Keyboard"/>
    <x v="0"/>
    <x v="1"/>
    <n v="14994.06"/>
    <n v="11566.92"/>
    <x v="18"/>
    <n v="3"/>
    <n v="3427.1399999999994"/>
    <n v="0.22856651233888617"/>
  </r>
  <r>
    <s v="ORD0020"/>
    <s v="2024-10-25"/>
    <x v="0"/>
    <s v="Microwave"/>
    <x v="0"/>
    <x v="1"/>
    <n v="350.07"/>
    <n v="271.08"/>
    <x v="19"/>
    <n v="1"/>
    <n v="78.990000000000009"/>
    <n v="0.22564058616848062"/>
  </r>
  <r>
    <s v="ORD0021"/>
    <s v="2024-02-23"/>
    <x v="0"/>
    <s v="Toaster"/>
    <x v="0"/>
    <x v="1"/>
    <n v="14455.8"/>
    <n v="8775.1200000000008"/>
    <x v="20"/>
    <n v="5"/>
    <n v="5680.6799999999985"/>
    <n v="0.39296891213215446"/>
  </r>
  <r>
    <s v="ORD0022"/>
    <s v="2024-01-03"/>
    <x v="2"/>
    <s v="Chair"/>
    <x v="3"/>
    <x v="1"/>
    <n v="6630.84"/>
    <n v="3541.19"/>
    <x v="21"/>
    <n v="3"/>
    <n v="3089.65"/>
    <n v="0.4659515234872203"/>
  </r>
  <r>
    <s v="ORD0023"/>
    <s v="2024-02-01"/>
    <x v="2"/>
    <s v="Desk"/>
    <x v="0"/>
    <x v="0"/>
    <n v="7667.52"/>
    <n v="5432.1"/>
    <x v="22"/>
    <n v="3"/>
    <n v="2235.42"/>
    <n v="0.29154407161637663"/>
  </r>
  <r>
    <s v="ORD0024"/>
    <s v="2024-06-08"/>
    <x v="2"/>
    <s v="Cabinet"/>
    <x v="3"/>
    <x v="0"/>
    <n v="930.77"/>
    <n v="521.07000000000005"/>
    <x v="23"/>
    <n v="1"/>
    <n v="409.69999999999993"/>
    <n v="0.44017318993951238"/>
  </r>
  <r>
    <s v="ORD0025"/>
    <s v="2024-05-26"/>
    <x v="1"/>
    <s v="Laptop"/>
    <x v="3"/>
    <x v="1"/>
    <n v="9112.66"/>
    <n v="7373.96"/>
    <x v="24"/>
    <n v="2"/>
    <n v="1738.6999999999998"/>
    <n v="0.19080049074584149"/>
  </r>
  <r>
    <s v="ORD0026"/>
    <s v="2024-12-27"/>
    <x v="0"/>
    <s v="Blender"/>
    <x v="2"/>
    <x v="0"/>
    <n v="2263.38"/>
    <n v="1813.53"/>
    <x v="25"/>
    <n v="1"/>
    <n v="449.85000000000014"/>
    <n v="0.19875142486016495"/>
  </r>
  <r>
    <s v="ORD0027"/>
    <s v="2024-05-26"/>
    <x v="0"/>
    <s v="Blender"/>
    <x v="1"/>
    <x v="1"/>
    <n v="17682.439999999999"/>
    <n v="11834.07"/>
    <x v="26"/>
    <n v="4"/>
    <n v="5848.369999999999"/>
    <n v="0.33074451263513405"/>
  </r>
  <r>
    <s v="ORD0028"/>
    <s v="2024-05-20"/>
    <x v="0"/>
    <s v="Blender"/>
    <x v="2"/>
    <x v="0"/>
    <n v="7211.72"/>
    <n v="6036.07"/>
    <x v="27"/>
    <n v="4"/>
    <n v="1175.6500000000005"/>
    <n v="0.16301936292590402"/>
  </r>
  <r>
    <s v="ORD0029"/>
    <s v="2024-05-29"/>
    <x v="2"/>
    <s v="Chair"/>
    <x v="3"/>
    <x v="0"/>
    <n v="5472.08"/>
    <n v="2829.17"/>
    <x v="28"/>
    <n v="2"/>
    <n v="2642.91"/>
    <n v="0.48298087747255153"/>
  </r>
  <r>
    <s v="ORD0030"/>
    <s v="2024-12-27"/>
    <x v="0"/>
    <s v="Microwave"/>
    <x v="2"/>
    <x v="0"/>
    <n v="1379.48"/>
    <n v="772.86"/>
    <x v="29"/>
    <n v="2"/>
    <n v="606.62"/>
    <n v="0.43974541131440831"/>
  </r>
  <r>
    <s v="ORD0031"/>
    <s v="2024-08-05"/>
    <x v="0"/>
    <s v="Blender"/>
    <x v="2"/>
    <x v="1"/>
    <n v="4779.8500000000004"/>
    <n v="3956.75"/>
    <x v="30"/>
    <n v="5"/>
    <n v="823.10000000000036"/>
    <n v="0.17220205654989179"/>
  </r>
  <r>
    <s v="ORD0032"/>
    <s v="2024-05-20"/>
    <x v="1"/>
    <s v="Laptop"/>
    <x v="2"/>
    <x v="1"/>
    <n v="482.73"/>
    <n v="354.13"/>
    <x v="31"/>
    <n v="1"/>
    <n v="128.60000000000002"/>
    <n v="0.26640150808940821"/>
  </r>
  <r>
    <s v="ORD0033"/>
    <s v="2024-03-05"/>
    <x v="0"/>
    <s v="Toaster"/>
    <x v="3"/>
    <x v="0"/>
    <n v="8270.7199999999993"/>
    <n v="4471.88"/>
    <x v="32"/>
    <n v="2"/>
    <n v="3798.8399999999992"/>
    <n v="0.4593118857850344"/>
  </r>
  <r>
    <s v="ORD0034"/>
    <s v="2024-06-14"/>
    <x v="1"/>
    <s v="Monitor"/>
    <x v="2"/>
    <x v="1"/>
    <n v="4918.82"/>
    <n v="2799.23"/>
    <x v="33"/>
    <n v="2"/>
    <n v="2119.5899999999997"/>
    <n v="0.43091432498038146"/>
  </r>
  <r>
    <s v="ORD0035"/>
    <s v="2024-06-16"/>
    <x v="2"/>
    <s v="Desk"/>
    <x v="3"/>
    <x v="0"/>
    <n v="2585.35"/>
    <n v="2015.01"/>
    <x v="34"/>
    <n v="5"/>
    <n v="570.33999999999992"/>
    <n v="0.22060456031098302"/>
  </r>
  <r>
    <s v="ORD0036"/>
    <s v="2024-12-13"/>
    <x v="1"/>
    <s v="Headphones"/>
    <x v="2"/>
    <x v="1"/>
    <n v="2154.6"/>
    <n v="1508.13"/>
    <x v="35"/>
    <n v="2"/>
    <n v="646.4699999999998"/>
    <n v="0.30004177109440261"/>
  </r>
  <r>
    <s v="ORD0037"/>
    <s v="2024-03-20"/>
    <x v="2"/>
    <s v="Chair"/>
    <x v="1"/>
    <x v="1"/>
    <n v="14577.5"/>
    <n v="8870.56"/>
    <x v="36"/>
    <n v="5"/>
    <n v="5706.9400000000005"/>
    <n v="0.39148962442119706"/>
  </r>
  <r>
    <s v="ORD0038"/>
    <s v="2024-04-26"/>
    <x v="2"/>
    <s v="Desk"/>
    <x v="3"/>
    <x v="0"/>
    <n v="4353.24"/>
    <n v="2695.67"/>
    <x v="37"/>
    <n v="2"/>
    <n v="1657.5699999999997"/>
    <n v="0.38076696897023821"/>
  </r>
  <r>
    <s v="ORD0039"/>
    <s v="2024-04-29"/>
    <x v="2"/>
    <s v="Desk"/>
    <x v="1"/>
    <x v="1"/>
    <n v="6189.51"/>
    <n v="4891.97"/>
    <x v="38"/>
    <n v="3"/>
    <n v="1297.54"/>
    <n v="0.20963533462261147"/>
  </r>
  <r>
    <s v="ORD0040"/>
    <s v="2024-04-01"/>
    <x v="0"/>
    <s v="Microwave"/>
    <x v="2"/>
    <x v="1"/>
    <n v="13877.5"/>
    <n v="10447.86"/>
    <x v="39"/>
    <n v="5"/>
    <n v="3429.6399999999994"/>
    <n v="0.24713673212033863"/>
  </r>
  <r>
    <s v="ORD0041"/>
    <s v="2024-02-01"/>
    <x v="0"/>
    <s v="Blender"/>
    <x v="1"/>
    <x v="0"/>
    <n v="7716.84"/>
    <n v="5037.54"/>
    <x v="40"/>
    <n v="4"/>
    <n v="2679.3"/>
    <n v="0.34720170432456809"/>
  </r>
  <r>
    <s v="ORD0042"/>
    <s v="2024-07-15"/>
    <x v="2"/>
    <s v="Desk"/>
    <x v="3"/>
    <x v="0"/>
    <n v="954.75"/>
    <n v="544.98"/>
    <x v="41"/>
    <n v="1"/>
    <n v="409.77"/>
    <n v="0.42919088766692848"/>
  </r>
  <r>
    <s v="ORD0043"/>
    <s v="2024-01-29"/>
    <x v="1"/>
    <s v="Keyboard"/>
    <x v="3"/>
    <x v="0"/>
    <n v="728.06"/>
    <n v="372.78"/>
    <x v="42"/>
    <n v="2"/>
    <n v="355.28"/>
    <n v="0.48798175974507596"/>
  </r>
  <r>
    <s v="ORD0044"/>
    <s v="2024-04-09"/>
    <x v="0"/>
    <s v="Microwave"/>
    <x v="2"/>
    <x v="1"/>
    <n v="4984.46"/>
    <n v="3596.71"/>
    <x v="43"/>
    <n v="1"/>
    <n v="1387.75"/>
    <n v="0.27841531479839343"/>
  </r>
  <r>
    <s v="ORD0045"/>
    <s v="2024-12-08"/>
    <x v="2"/>
    <s v="Chair"/>
    <x v="0"/>
    <x v="0"/>
    <n v="12345.48"/>
    <n v="7069.79"/>
    <x v="44"/>
    <n v="3"/>
    <n v="5275.69"/>
    <n v="0.4273377786849924"/>
  </r>
  <r>
    <s v="ORD0046"/>
    <s v="2024-09-15"/>
    <x v="1"/>
    <s v="Laptop"/>
    <x v="2"/>
    <x v="0"/>
    <n v="2842.35"/>
    <n v="2056.2800000000002"/>
    <x v="45"/>
    <n v="1"/>
    <n v="786.06999999999971"/>
    <n v="0.2765563706088271"/>
  </r>
  <r>
    <s v="ORD0047"/>
    <s v="2024-11-18"/>
    <x v="2"/>
    <s v="Desk"/>
    <x v="1"/>
    <x v="0"/>
    <n v="10839.12"/>
    <n v="6129.54"/>
    <x v="46"/>
    <n v="3"/>
    <n v="4709.5800000000008"/>
    <n v="0.43449837256161022"/>
  </r>
  <r>
    <s v="ORD0048"/>
    <s v="2024-04-18"/>
    <x v="2"/>
    <s v="Desk"/>
    <x v="1"/>
    <x v="0"/>
    <n v="11671.26"/>
    <n v="7098.38"/>
    <x v="47"/>
    <n v="3"/>
    <n v="4572.88"/>
    <n v="0.39180688289010784"/>
  </r>
  <r>
    <s v="ORD0049"/>
    <s v="2024-08-08"/>
    <x v="2"/>
    <s v="Cabinet"/>
    <x v="1"/>
    <x v="0"/>
    <n v="11520.6"/>
    <n v="7353.03"/>
    <x v="48"/>
    <n v="5"/>
    <n v="4167.5700000000006"/>
    <n v="0.36174938805270562"/>
  </r>
  <r>
    <s v="ORD0050"/>
    <s v="2024-10-21"/>
    <x v="2"/>
    <s v="Chair"/>
    <x v="0"/>
    <x v="1"/>
    <n v="4195.84"/>
    <n v="2585.1799999999998"/>
    <x v="49"/>
    <n v="4"/>
    <n v="1610.6600000000003"/>
    <n v="0.38387069097010379"/>
  </r>
  <r>
    <s v="ORD0051"/>
    <s v="2024-11-30"/>
    <x v="0"/>
    <s v="Toaster"/>
    <x v="2"/>
    <x v="0"/>
    <n v="18531.8"/>
    <n v="15190.33"/>
    <x v="50"/>
    <n v="5"/>
    <n v="3341.4699999999993"/>
    <n v="0.18031006162380339"/>
  </r>
  <r>
    <s v="ORD0052"/>
    <s v="2024-05-07"/>
    <x v="2"/>
    <s v="Chair"/>
    <x v="3"/>
    <x v="1"/>
    <n v="3174.6"/>
    <n v="2698.15"/>
    <x v="51"/>
    <n v="5"/>
    <n v="476.44999999999982"/>
    <n v="0.15008190008190003"/>
  </r>
  <r>
    <s v="ORD0053"/>
    <s v="2024-12-16"/>
    <x v="2"/>
    <s v="Chair"/>
    <x v="1"/>
    <x v="1"/>
    <n v="2151"/>
    <n v="1682.1"/>
    <x v="52"/>
    <n v="1"/>
    <n v="468.90000000000009"/>
    <n v="0.21799163179916323"/>
  </r>
  <r>
    <s v="ORD0054"/>
    <s v="2024-12-01"/>
    <x v="1"/>
    <s v="Monitor"/>
    <x v="0"/>
    <x v="0"/>
    <n v="1202.01"/>
    <n v="780.62"/>
    <x v="53"/>
    <n v="1"/>
    <n v="421.39"/>
    <n v="0.35057112669611734"/>
  </r>
  <r>
    <s v="ORD0055"/>
    <s v="2024-07-09"/>
    <x v="0"/>
    <s v="Toaster"/>
    <x v="0"/>
    <x v="1"/>
    <n v="3447.6"/>
    <n v="2444.75"/>
    <x v="54"/>
    <n v="5"/>
    <n v="1002.8499999999999"/>
    <n v="0.29088351316858102"/>
  </r>
  <r>
    <s v="ORD0056"/>
    <s v="2024-04-14"/>
    <x v="2"/>
    <s v="Chair"/>
    <x v="1"/>
    <x v="1"/>
    <n v="16472.12"/>
    <n v="9019.86"/>
    <x v="55"/>
    <n v="4"/>
    <n v="7452.2599999999984"/>
    <n v="0.45241656811630798"/>
  </r>
  <r>
    <s v="ORD0057"/>
    <s v="2024-05-19"/>
    <x v="0"/>
    <s v="Microwave"/>
    <x v="2"/>
    <x v="1"/>
    <n v="998.61"/>
    <n v="642.25"/>
    <x v="56"/>
    <n v="1"/>
    <n v="356.36"/>
    <n v="0.35685602988153536"/>
  </r>
  <r>
    <s v="ORD0058"/>
    <s v="2024-03-23"/>
    <x v="0"/>
    <s v="Microwave"/>
    <x v="3"/>
    <x v="1"/>
    <n v="1399.18"/>
    <n v="1183.05"/>
    <x v="57"/>
    <n v="2"/>
    <n v="216.13000000000011"/>
    <n v="0.1544690461556055"/>
  </r>
  <r>
    <s v="ORD0059"/>
    <s v="2024-07-18"/>
    <x v="2"/>
    <s v="Desk"/>
    <x v="2"/>
    <x v="1"/>
    <n v="5872.54"/>
    <n v="4678.7"/>
    <x v="58"/>
    <n v="2"/>
    <n v="1193.8400000000001"/>
    <n v="0.20329193160029563"/>
  </r>
  <r>
    <s v="ORD0060"/>
    <s v="2024-11-06"/>
    <x v="1"/>
    <s v="Headphones"/>
    <x v="2"/>
    <x v="1"/>
    <n v="4172.25"/>
    <n v="2777.78"/>
    <x v="59"/>
    <n v="1"/>
    <n v="1394.4699999999998"/>
    <n v="0.33422493858229968"/>
  </r>
  <r>
    <s v="ORD0061"/>
    <s v="2024-06-18"/>
    <x v="1"/>
    <s v="Keyboard"/>
    <x v="3"/>
    <x v="0"/>
    <n v="730.16"/>
    <n v="405.43"/>
    <x v="60"/>
    <n v="1"/>
    <n v="324.72999999999996"/>
    <n v="0.44473813958584418"/>
  </r>
  <r>
    <s v="ORD0062"/>
    <s v="2024-11-20"/>
    <x v="2"/>
    <s v="Chair"/>
    <x v="0"/>
    <x v="1"/>
    <n v="5994.48"/>
    <n v="3385.01"/>
    <x v="61"/>
    <n v="3"/>
    <n v="2609.4699999999993"/>
    <n v="0.43531215384820693"/>
  </r>
  <r>
    <s v="ORD0063"/>
    <s v="2024-12-08"/>
    <x v="2"/>
    <s v="Desk"/>
    <x v="1"/>
    <x v="1"/>
    <n v="8462.84"/>
    <n v="5024.7"/>
    <x v="62"/>
    <n v="2"/>
    <n v="3438.1400000000003"/>
    <n v="0.40626314570522426"/>
  </r>
  <r>
    <s v="ORD0064"/>
    <s v="2024-08-22"/>
    <x v="0"/>
    <s v="Blender"/>
    <x v="1"/>
    <x v="1"/>
    <n v="5463.1"/>
    <n v="4415.92"/>
    <x v="63"/>
    <n v="5"/>
    <n v="1047.1800000000003"/>
    <n v="0.19168237813695524"/>
  </r>
  <r>
    <s v="ORD0065"/>
    <s v="2024-05-25"/>
    <x v="0"/>
    <s v="Toaster"/>
    <x v="2"/>
    <x v="1"/>
    <n v="6228.42"/>
    <n v="5099.47"/>
    <x v="64"/>
    <n v="2"/>
    <n v="1128.9499999999998"/>
    <n v="0.18125784709444767"/>
  </r>
  <r>
    <s v="ORD0066"/>
    <s v="2024-11-15"/>
    <x v="1"/>
    <s v="Headphones"/>
    <x v="1"/>
    <x v="1"/>
    <n v="13268.85"/>
    <n v="10771.06"/>
    <x v="65"/>
    <n v="3"/>
    <n v="2497.7900000000009"/>
    <n v="0.18824464817975942"/>
  </r>
  <r>
    <s v="ORD0067"/>
    <s v="2024-04-10"/>
    <x v="2"/>
    <s v="Chair"/>
    <x v="2"/>
    <x v="1"/>
    <n v="2539.1799999999998"/>
    <n v="2123.94"/>
    <x v="66"/>
    <n v="1"/>
    <n v="415.23999999999978"/>
    <n v="0.16353310911396585"/>
  </r>
  <r>
    <s v="ORD0068"/>
    <s v="2024-05-02"/>
    <x v="2"/>
    <s v="Cabinet"/>
    <x v="2"/>
    <x v="0"/>
    <n v="9018.06"/>
    <n v="6246.29"/>
    <x v="67"/>
    <n v="3"/>
    <n v="2771.7699999999995"/>
    <n v="0.30735768003317782"/>
  </r>
  <r>
    <s v="ORD0069"/>
    <s v="2024-08-23"/>
    <x v="1"/>
    <s v="Headphones"/>
    <x v="1"/>
    <x v="0"/>
    <n v="16740.25"/>
    <n v="12197.21"/>
    <x v="68"/>
    <n v="5"/>
    <n v="4543.0400000000009"/>
    <n v="0.27138423858664001"/>
  </r>
  <r>
    <s v="ORD0070"/>
    <s v="2024-02-07"/>
    <x v="2"/>
    <s v="Chair"/>
    <x v="3"/>
    <x v="1"/>
    <n v="8947.83"/>
    <n v="4915.58"/>
    <x v="69"/>
    <n v="3"/>
    <n v="4032.25"/>
    <n v="0.45063998757240581"/>
  </r>
  <r>
    <s v="ORD0071"/>
    <s v="2024-02-22"/>
    <x v="0"/>
    <s v="Toaster"/>
    <x v="3"/>
    <x v="1"/>
    <n v="9068.35"/>
    <n v="5246.86"/>
    <x v="70"/>
    <n v="5"/>
    <n v="3821.4900000000007"/>
    <n v="0.42140962799186188"/>
  </r>
  <r>
    <s v="ORD0072"/>
    <s v="2024-07-28"/>
    <x v="1"/>
    <s v="Headphones"/>
    <x v="0"/>
    <x v="1"/>
    <n v="4173.68"/>
    <n v="2854.74"/>
    <x v="71"/>
    <n v="1"/>
    <n v="1318.9400000000005"/>
    <n v="0.31601368576412192"/>
  </r>
  <r>
    <s v="ORD0073"/>
    <s v="2024-05-28"/>
    <x v="2"/>
    <s v="Chair"/>
    <x v="0"/>
    <x v="1"/>
    <n v="10008.65"/>
    <n v="6646.42"/>
    <x v="72"/>
    <n v="5"/>
    <n v="3362.2299999999996"/>
    <n v="0.33593241845803379"/>
  </r>
  <r>
    <s v="ORD0074"/>
    <s v="2024-10-03"/>
    <x v="2"/>
    <s v="Cabinet"/>
    <x v="1"/>
    <x v="1"/>
    <n v="840.08"/>
    <n v="710.92"/>
    <x v="73"/>
    <n v="4"/>
    <n v="129.16000000000008"/>
    <n v="0.15374726216550813"/>
  </r>
  <r>
    <s v="ORD0075"/>
    <s v="2024-07-13"/>
    <x v="2"/>
    <s v="Desk"/>
    <x v="1"/>
    <x v="0"/>
    <n v="14810.35"/>
    <n v="10835.22"/>
    <x v="74"/>
    <n v="5"/>
    <n v="3975.130000000001"/>
    <n v="0.26840216470238726"/>
  </r>
  <r>
    <s v="ORD0076"/>
    <s v="2024-08-07"/>
    <x v="1"/>
    <s v="Laptop"/>
    <x v="3"/>
    <x v="1"/>
    <n v="22905.05"/>
    <n v="14204.98"/>
    <x v="75"/>
    <n v="5"/>
    <n v="8700.07"/>
    <n v="0.37983195845457662"/>
  </r>
  <r>
    <s v="ORD0077"/>
    <s v="2024-08-16"/>
    <x v="2"/>
    <s v="Chair"/>
    <x v="2"/>
    <x v="1"/>
    <n v="3778.04"/>
    <n v="2507.88"/>
    <x v="76"/>
    <n v="4"/>
    <n v="1270.1599999999999"/>
    <n v="0.33619548760733076"/>
  </r>
  <r>
    <s v="ORD0078"/>
    <s v="2024-02-03"/>
    <x v="2"/>
    <s v="Desk"/>
    <x v="2"/>
    <x v="1"/>
    <n v="19135.05"/>
    <n v="10776.33"/>
    <x v="77"/>
    <n v="5"/>
    <n v="8358.7199999999993"/>
    <n v="0.43682770622496414"/>
  </r>
  <r>
    <s v="ORD0079"/>
    <s v="2024-03-10"/>
    <x v="2"/>
    <s v="Chair"/>
    <x v="2"/>
    <x v="0"/>
    <n v="4553.46"/>
    <n v="3855.3"/>
    <x v="78"/>
    <n v="2"/>
    <n v="698.15999999999985"/>
    <n v="0.15332516372165339"/>
  </r>
  <r>
    <s v="ORD0080"/>
    <s v="2024-04-14"/>
    <x v="0"/>
    <s v="Toaster"/>
    <x v="3"/>
    <x v="0"/>
    <n v="2606.2800000000002"/>
    <n v="1622.88"/>
    <x v="79"/>
    <n v="4"/>
    <n v="983.40000000000009"/>
    <n v="0.37731939776232792"/>
  </r>
  <r>
    <s v="ORD0081"/>
    <s v="2024-10-09"/>
    <x v="1"/>
    <s v="Laptop"/>
    <x v="0"/>
    <x v="0"/>
    <n v="15696.85"/>
    <n v="9184.86"/>
    <x v="80"/>
    <n v="5"/>
    <n v="6511.99"/>
    <n v="0.41485966929670598"/>
  </r>
  <r>
    <s v="ORD0082"/>
    <s v="2024-01-16"/>
    <x v="1"/>
    <s v="Laptop"/>
    <x v="3"/>
    <x v="1"/>
    <n v="18639"/>
    <n v="15249.12"/>
    <x v="81"/>
    <n v="5"/>
    <n v="3389.8799999999992"/>
    <n v="0.18187027201030093"/>
  </r>
  <r>
    <s v="ORD0083"/>
    <s v="2024-06-09"/>
    <x v="0"/>
    <s v="Toaster"/>
    <x v="1"/>
    <x v="1"/>
    <n v="14173.8"/>
    <n v="11493.92"/>
    <x v="82"/>
    <n v="5"/>
    <n v="2679.8799999999992"/>
    <n v="0.18907279628610529"/>
  </r>
  <r>
    <s v="ORD0084"/>
    <s v="2024-10-23"/>
    <x v="1"/>
    <s v="Keyboard"/>
    <x v="3"/>
    <x v="1"/>
    <n v="8811.27"/>
    <n v="6023.72"/>
    <x v="83"/>
    <n v="3"/>
    <n v="2787.55"/>
    <n v="0.3163618865384899"/>
  </r>
  <r>
    <s v="ORD0085"/>
    <s v="2024-11-22"/>
    <x v="0"/>
    <s v="Blender"/>
    <x v="2"/>
    <x v="1"/>
    <n v="9477.08"/>
    <n v="6564.72"/>
    <x v="84"/>
    <n v="4"/>
    <n v="2912.3599999999997"/>
    <n v="0.30730562578346915"/>
  </r>
  <r>
    <s v="ORD0086"/>
    <s v="2024-09-30"/>
    <x v="1"/>
    <s v="Laptop"/>
    <x v="2"/>
    <x v="1"/>
    <n v="8343.4500000000007"/>
    <n v="4687.3599999999997"/>
    <x v="85"/>
    <n v="5"/>
    <n v="3656.0900000000011"/>
    <n v="0.43819882662447796"/>
  </r>
  <r>
    <s v="ORD0087"/>
    <s v="2024-09-19"/>
    <x v="1"/>
    <s v="Monitor"/>
    <x v="1"/>
    <x v="1"/>
    <n v="628.64"/>
    <n v="390.04"/>
    <x v="86"/>
    <n v="2"/>
    <n v="238.59999999999997"/>
    <n v="0.37954950369050644"/>
  </r>
  <r>
    <s v="ORD0088"/>
    <s v="2024-02-08"/>
    <x v="1"/>
    <s v="Keyboard"/>
    <x v="0"/>
    <x v="1"/>
    <n v="9990.7199999999993"/>
    <n v="8192.6"/>
    <x v="87"/>
    <n v="4"/>
    <n v="1798.119999999999"/>
    <n v="0.17997902053105272"/>
  </r>
  <r>
    <s v="ORD0089"/>
    <s v="2024-02-10"/>
    <x v="2"/>
    <s v="Cabinet"/>
    <x v="1"/>
    <x v="0"/>
    <n v="17159.04"/>
    <n v="9520.02"/>
    <x v="88"/>
    <n v="4"/>
    <n v="7639.02"/>
    <n v="0.44518924135615978"/>
  </r>
  <r>
    <s v="ORD0090"/>
    <s v="2024-01-28"/>
    <x v="1"/>
    <s v="Laptop"/>
    <x v="1"/>
    <x v="0"/>
    <n v="16022.95"/>
    <n v="10560.51"/>
    <x v="89"/>
    <n v="5"/>
    <n v="5462.4400000000005"/>
    <n v="0.34091350219528865"/>
  </r>
  <r>
    <s v="ORD0091"/>
    <s v="2024-06-13"/>
    <x v="1"/>
    <s v="Keyboard"/>
    <x v="3"/>
    <x v="1"/>
    <n v="9407.9"/>
    <n v="6792.68"/>
    <x v="90"/>
    <n v="2"/>
    <n v="2615.2199999999993"/>
    <n v="0.27798127105942871"/>
  </r>
  <r>
    <s v="ORD0092"/>
    <s v="2024-10-28"/>
    <x v="2"/>
    <s v="Cabinet"/>
    <x v="3"/>
    <x v="0"/>
    <n v="5860.78"/>
    <n v="4820.5200000000004"/>
    <x v="91"/>
    <n v="2"/>
    <n v="1040.2599999999993"/>
    <n v="0.17749514569733027"/>
  </r>
  <r>
    <s v="ORD0093"/>
    <s v="2024-02-27"/>
    <x v="0"/>
    <s v="Toaster"/>
    <x v="2"/>
    <x v="1"/>
    <n v="6567.96"/>
    <n v="3603.02"/>
    <x v="92"/>
    <n v="3"/>
    <n v="2964.94"/>
    <n v="0.45142479552250625"/>
  </r>
  <r>
    <s v="ORD0094"/>
    <s v="2024-04-09"/>
    <x v="1"/>
    <s v="Headphones"/>
    <x v="3"/>
    <x v="1"/>
    <n v="11085.12"/>
    <n v="8336.86"/>
    <x v="93"/>
    <n v="4"/>
    <n v="2748.26"/>
    <n v="0.24792334228226667"/>
  </r>
  <r>
    <s v="ORD0095"/>
    <s v="2024-06-13"/>
    <x v="2"/>
    <s v="Cabinet"/>
    <x v="1"/>
    <x v="0"/>
    <n v="1060.3599999999999"/>
    <n v="675.83"/>
    <x v="94"/>
    <n v="1"/>
    <n v="384.52999999999986"/>
    <n v="0.36264098985250282"/>
  </r>
  <r>
    <s v="ORD0096"/>
    <s v="2024-07-30"/>
    <x v="1"/>
    <s v="Monitor"/>
    <x v="0"/>
    <x v="1"/>
    <n v="16384.48"/>
    <n v="11248.64"/>
    <x v="95"/>
    <n v="4"/>
    <n v="5135.84"/>
    <n v="0.31345761354647816"/>
  </r>
  <r>
    <s v="ORD0097"/>
    <s v="2024-01-23"/>
    <x v="0"/>
    <s v="Blender"/>
    <x v="2"/>
    <x v="0"/>
    <n v="16034.5"/>
    <n v="8326.73"/>
    <x v="96"/>
    <n v="5"/>
    <n v="7707.77"/>
    <n v="0.48069911752783062"/>
  </r>
  <r>
    <s v="ORD0098"/>
    <s v="2024-03-05"/>
    <x v="2"/>
    <s v="Chair"/>
    <x v="2"/>
    <x v="0"/>
    <n v="2273.88"/>
    <n v="1433.39"/>
    <x v="97"/>
    <n v="4"/>
    <n v="840.49"/>
    <n v="0.36962812461519517"/>
  </r>
  <r>
    <s v="ORD0099"/>
    <s v="2024-12-28"/>
    <x v="1"/>
    <s v="Monitor"/>
    <x v="0"/>
    <x v="1"/>
    <n v="7331.08"/>
    <n v="5571.35"/>
    <x v="98"/>
    <n v="4"/>
    <n v="1759.7299999999996"/>
    <n v="0.24003693862295863"/>
  </r>
  <r>
    <s v="ORD0100"/>
    <s v="2024-08-16"/>
    <x v="2"/>
    <s v="Cabinet"/>
    <x v="2"/>
    <x v="0"/>
    <n v="3199.4"/>
    <n v="2060.88"/>
    <x v="99"/>
    <n v="4"/>
    <n v="1138.52"/>
    <n v="0.35585422266674999"/>
  </r>
  <r>
    <s v="ORD0101"/>
    <s v="2024-01-12"/>
    <x v="1"/>
    <s v="Monitor"/>
    <x v="2"/>
    <x v="0"/>
    <n v="8526.56"/>
    <n v="5448.41"/>
    <x v="100"/>
    <n v="4"/>
    <n v="3078.1499999999996"/>
    <n v="0.36100725263177647"/>
  </r>
  <r>
    <s v="ORD0102"/>
    <s v="2024-05-17"/>
    <x v="2"/>
    <s v="Desk"/>
    <x v="2"/>
    <x v="0"/>
    <n v="11322.09"/>
    <n v="8354.7000000000007"/>
    <x v="101"/>
    <n v="3"/>
    <n v="2967.3899999999994"/>
    <n v="0.26208853665710125"/>
  </r>
  <r>
    <s v="ORD0103"/>
    <s v="2024-07-23"/>
    <x v="1"/>
    <s v="Headphones"/>
    <x v="3"/>
    <x v="0"/>
    <n v="5590.34"/>
    <n v="4478.92"/>
    <x v="102"/>
    <n v="2"/>
    <n v="1111.42"/>
    <n v="0.19881080578283253"/>
  </r>
  <r>
    <s v="ORD0104"/>
    <s v="2024-11-18"/>
    <x v="1"/>
    <s v="Keyboard"/>
    <x v="2"/>
    <x v="1"/>
    <n v="4547.7299999999996"/>
    <n v="3466.56"/>
    <x v="103"/>
    <n v="1"/>
    <n v="1081.1699999999996"/>
    <n v="0.23773838816288559"/>
  </r>
  <r>
    <s v="ORD0105"/>
    <s v="2024-11-01"/>
    <x v="0"/>
    <s v="Microwave"/>
    <x v="1"/>
    <x v="1"/>
    <n v="22930.6"/>
    <n v="12490.6"/>
    <x v="104"/>
    <n v="5"/>
    <n v="10439.999999999998"/>
    <n v="0.455286821975875"/>
  </r>
  <r>
    <s v="ORD0106"/>
    <s v="2024-10-15"/>
    <x v="2"/>
    <s v="Desk"/>
    <x v="1"/>
    <x v="0"/>
    <n v="5098.84"/>
    <n v="3740.89"/>
    <x v="105"/>
    <n v="4"/>
    <n v="1357.9500000000003"/>
    <n v="0.26632528182880816"/>
  </r>
  <r>
    <s v="ORD0107"/>
    <s v="2024-10-06"/>
    <x v="0"/>
    <s v="Blender"/>
    <x v="3"/>
    <x v="1"/>
    <n v="6571.24"/>
    <n v="4615.2"/>
    <x v="106"/>
    <n v="2"/>
    <n v="1956.04"/>
    <n v="0.2976668026125967"/>
  </r>
  <r>
    <s v="ORD0108"/>
    <s v="2024-07-03"/>
    <x v="2"/>
    <s v="Chair"/>
    <x v="3"/>
    <x v="1"/>
    <n v="5680.36"/>
    <n v="4348.83"/>
    <x v="107"/>
    <n v="2"/>
    <n v="1331.5299999999997"/>
    <n v="0.23440943883838344"/>
  </r>
  <r>
    <s v="ORD0109"/>
    <s v="2024-05-01"/>
    <x v="0"/>
    <s v="Microwave"/>
    <x v="3"/>
    <x v="0"/>
    <n v="8681.74"/>
    <n v="4576.21"/>
    <x v="108"/>
    <n v="2"/>
    <n v="4105.53"/>
    <n v="0.47289253075996285"/>
  </r>
  <r>
    <s v="ORD0110"/>
    <s v="2024-07-13"/>
    <x v="0"/>
    <s v="Blender"/>
    <x v="0"/>
    <x v="0"/>
    <n v="14329.5"/>
    <n v="8034.51"/>
    <x v="109"/>
    <n v="5"/>
    <n v="6294.99"/>
    <n v="0.43930283680519205"/>
  </r>
  <r>
    <s v="ORD0111"/>
    <s v="2024-03-09"/>
    <x v="2"/>
    <s v="Chair"/>
    <x v="3"/>
    <x v="0"/>
    <n v="6545.28"/>
    <n v="5354.74"/>
    <x v="110"/>
    <n v="4"/>
    <n v="1190.54"/>
    <n v="0.18189290603304978"/>
  </r>
  <r>
    <s v="ORD0112"/>
    <s v="2024-05-26"/>
    <x v="0"/>
    <s v="Toaster"/>
    <x v="3"/>
    <x v="1"/>
    <n v="2975.78"/>
    <n v="1510.12"/>
    <x v="111"/>
    <n v="2"/>
    <n v="1465.6600000000003"/>
    <n v="0.49252968969480276"/>
  </r>
  <r>
    <s v="ORD0113"/>
    <s v="2024-01-01"/>
    <x v="1"/>
    <s v="Laptop"/>
    <x v="1"/>
    <x v="1"/>
    <n v="3712.6"/>
    <n v="2427.75"/>
    <x v="112"/>
    <n v="2"/>
    <n v="1284.8499999999999"/>
    <n v="0.34607822011528305"/>
  </r>
  <r>
    <s v="ORD0114"/>
    <s v="2024-09-06"/>
    <x v="1"/>
    <s v="Monitor"/>
    <x v="3"/>
    <x v="0"/>
    <n v="2347.37"/>
    <n v="1811.55"/>
    <x v="113"/>
    <n v="1"/>
    <n v="535.81999999999994"/>
    <n v="0.22826397201974974"/>
  </r>
  <r>
    <s v="ORD0115"/>
    <s v="2024-04-16"/>
    <x v="0"/>
    <s v="Microwave"/>
    <x v="3"/>
    <x v="0"/>
    <n v="7892.68"/>
    <n v="5886.6"/>
    <x v="114"/>
    <n v="2"/>
    <n v="2006.08"/>
    <n v="0.25416968634228171"/>
  </r>
  <r>
    <s v="ORD0116"/>
    <s v="2024-02-02"/>
    <x v="2"/>
    <s v="Desk"/>
    <x v="1"/>
    <x v="1"/>
    <n v="10235.64"/>
    <n v="6982.58"/>
    <x v="115"/>
    <n v="4"/>
    <n v="3253.0599999999995"/>
    <n v="0.31781696112798025"/>
  </r>
  <r>
    <s v="ORD0117"/>
    <s v="2024-07-13"/>
    <x v="1"/>
    <s v="Laptop"/>
    <x v="0"/>
    <x v="1"/>
    <n v="22436.2"/>
    <n v="16947.259999999998"/>
    <x v="116"/>
    <n v="5"/>
    <n v="5488.9400000000023"/>
    <n v="0.24464659790873686"/>
  </r>
  <r>
    <s v="ORD0118"/>
    <s v="2024-03-15"/>
    <x v="0"/>
    <s v="Toaster"/>
    <x v="3"/>
    <x v="1"/>
    <n v="9524.7000000000007"/>
    <n v="5854.67"/>
    <x v="117"/>
    <n v="3"/>
    <n v="3670.0300000000007"/>
    <n v="0.38531712284901365"/>
  </r>
  <r>
    <s v="ORD0119"/>
    <s v="2024-04-05"/>
    <x v="2"/>
    <s v="Desk"/>
    <x v="3"/>
    <x v="0"/>
    <n v="3125.8"/>
    <n v="1693.32"/>
    <x v="118"/>
    <n v="5"/>
    <n v="1432.4800000000002"/>
    <n v="0.45827628127199443"/>
  </r>
  <r>
    <s v="ORD0120"/>
    <s v="2024-12-19"/>
    <x v="0"/>
    <s v="Blender"/>
    <x v="0"/>
    <x v="1"/>
    <n v="2404.0500000000002"/>
    <n v="1493.87"/>
    <x v="119"/>
    <n v="1"/>
    <n v="910.18000000000029"/>
    <n v="0.37860277448472379"/>
  </r>
  <r>
    <s v="ORD0121"/>
    <s v="2024-10-22"/>
    <x v="2"/>
    <s v="Chair"/>
    <x v="1"/>
    <x v="1"/>
    <n v="20482.150000000001"/>
    <n v="10327.17"/>
    <x v="120"/>
    <n v="5"/>
    <n v="10154.980000000001"/>
    <n v="0.49579658385472231"/>
  </r>
  <r>
    <s v="ORD0122"/>
    <s v="2024-02-22"/>
    <x v="0"/>
    <s v="Microwave"/>
    <x v="0"/>
    <x v="0"/>
    <n v="8096.2"/>
    <n v="5670.94"/>
    <x v="121"/>
    <n v="4"/>
    <n v="2425.2600000000002"/>
    <n v="0.29955534695289149"/>
  </r>
  <r>
    <s v="ORD0123"/>
    <s v="2024-02-05"/>
    <x v="1"/>
    <s v="Monitor"/>
    <x v="0"/>
    <x v="0"/>
    <n v="17509.28"/>
    <n v="9827.67"/>
    <x v="122"/>
    <n v="4"/>
    <n v="7681.6099999999988"/>
    <n v="0.43871649776575616"/>
  </r>
  <r>
    <s v="ORD0124"/>
    <s v="2024-06-28"/>
    <x v="1"/>
    <s v="Headphones"/>
    <x v="1"/>
    <x v="0"/>
    <n v="4880.9799999999996"/>
    <n v="3163.02"/>
    <x v="123"/>
    <n v="2"/>
    <n v="1717.9599999999996"/>
    <n v="0.35197030104610133"/>
  </r>
  <r>
    <s v="ORD0125"/>
    <s v="2024-08-21"/>
    <x v="0"/>
    <s v="Toaster"/>
    <x v="3"/>
    <x v="0"/>
    <n v="5109.3"/>
    <n v="4157.29"/>
    <x v="124"/>
    <n v="5"/>
    <n v="952.01000000000022"/>
    <n v="0.18632885131035568"/>
  </r>
  <r>
    <s v="ORD0126"/>
    <s v="2024-09-23"/>
    <x v="2"/>
    <s v="Desk"/>
    <x v="3"/>
    <x v="0"/>
    <n v="6926.79"/>
    <n v="4921.6499999999996"/>
    <x v="125"/>
    <n v="3"/>
    <n v="2005.1400000000003"/>
    <n v="0.28947607766367978"/>
  </r>
  <r>
    <s v="ORD0127"/>
    <s v="2024-03-09"/>
    <x v="0"/>
    <s v="Blender"/>
    <x v="1"/>
    <x v="0"/>
    <n v="23458.45"/>
    <n v="15549.05"/>
    <x v="126"/>
    <n v="5"/>
    <n v="7909.4000000000015"/>
    <n v="0.33716635157054287"/>
  </r>
  <r>
    <s v="ORD0128"/>
    <s v="2024-11-08"/>
    <x v="0"/>
    <s v="Toaster"/>
    <x v="0"/>
    <x v="1"/>
    <n v="9765.2999999999993"/>
    <n v="7231.76"/>
    <x v="127"/>
    <n v="2"/>
    <n v="2533.5399999999991"/>
    <n v="0.2594431302673752"/>
  </r>
  <r>
    <s v="ORD0129"/>
    <s v="2024-12-11"/>
    <x v="1"/>
    <s v="Monitor"/>
    <x v="3"/>
    <x v="0"/>
    <n v="14658.66"/>
    <n v="8791.08"/>
    <x v="128"/>
    <n v="3"/>
    <n v="5867.58"/>
    <n v="0.40028078964925851"/>
  </r>
  <r>
    <s v="ORD0130"/>
    <s v="2024-01-19"/>
    <x v="0"/>
    <s v="Toaster"/>
    <x v="1"/>
    <x v="0"/>
    <n v="9310.2800000000007"/>
    <n v="5827.21"/>
    <x v="129"/>
    <n v="4"/>
    <n v="3483.0700000000006"/>
    <n v="0.37411012343345207"/>
  </r>
  <r>
    <s v="ORD0131"/>
    <s v="2024-03-23"/>
    <x v="0"/>
    <s v="Microwave"/>
    <x v="1"/>
    <x v="1"/>
    <n v="5737.8"/>
    <n v="4379.3999999999996"/>
    <x v="130"/>
    <n v="2"/>
    <n v="1358.4000000000005"/>
    <n v="0.23674579106974808"/>
  </r>
  <r>
    <s v="ORD0132"/>
    <s v="2024-06-14"/>
    <x v="2"/>
    <s v="Chair"/>
    <x v="0"/>
    <x v="1"/>
    <n v="2782.6"/>
    <n v="2066.4"/>
    <x v="131"/>
    <n v="1"/>
    <n v="716.19999999999982"/>
    <n v="0.25738517932868532"/>
  </r>
  <r>
    <s v="ORD0133"/>
    <s v="2024-05-31"/>
    <x v="2"/>
    <s v="Cabinet"/>
    <x v="0"/>
    <x v="0"/>
    <n v="22157.55"/>
    <n v="12372.45"/>
    <x v="93"/>
    <n v="5"/>
    <n v="9785.0999999999985"/>
    <n v="0.44161470920747098"/>
  </r>
  <r>
    <s v="ORD0134"/>
    <s v="2024-09-25"/>
    <x v="2"/>
    <s v="Chair"/>
    <x v="0"/>
    <x v="1"/>
    <n v="9389.85"/>
    <n v="6865.44"/>
    <x v="132"/>
    <n v="3"/>
    <n v="2524.4100000000008"/>
    <n v="0.26884455023243192"/>
  </r>
  <r>
    <s v="ORD0135"/>
    <s v="2024-08-03"/>
    <x v="0"/>
    <s v="Microwave"/>
    <x v="0"/>
    <x v="0"/>
    <n v="4082.5"/>
    <n v="2695.9"/>
    <x v="133"/>
    <n v="2"/>
    <n v="1386.6"/>
    <n v="0.33964482547458663"/>
  </r>
  <r>
    <s v="ORD0136"/>
    <s v="2024-02-08"/>
    <x v="0"/>
    <s v="Microwave"/>
    <x v="2"/>
    <x v="0"/>
    <n v="9595.9500000000007"/>
    <n v="6705.06"/>
    <x v="134"/>
    <n v="5"/>
    <n v="2890.8900000000003"/>
    <n v="0.30126146968252232"/>
  </r>
  <r>
    <s v="ORD0137"/>
    <s v="2024-12-13"/>
    <x v="2"/>
    <s v="Chair"/>
    <x v="3"/>
    <x v="0"/>
    <n v="6721.84"/>
    <n v="3819.45"/>
    <x v="135"/>
    <n v="2"/>
    <n v="2902.3900000000003"/>
    <n v="0.43178504695143"/>
  </r>
  <r>
    <s v="ORD0138"/>
    <s v="2024-11-27"/>
    <x v="2"/>
    <s v="Chair"/>
    <x v="1"/>
    <x v="1"/>
    <n v="2151.6999999999998"/>
    <n v="1637.08"/>
    <x v="136"/>
    <n v="2"/>
    <n v="514.61999999999989"/>
    <n v="0.23916902913974994"/>
  </r>
  <r>
    <s v="ORD0139"/>
    <s v="2024-09-08"/>
    <x v="0"/>
    <s v="Blender"/>
    <x v="3"/>
    <x v="1"/>
    <n v="3294.15"/>
    <n v="2320.73"/>
    <x v="137"/>
    <n v="3"/>
    <n v="973.42000000000007"/>
    <n v="0.29549959777180762"/>
  </r>
  <r>
    <s v="ORD0140"/>
    <s v="2024-06-21"/>
    <x v="2"/>
    <s v="Desk"/>
    <x v="1"/>
    <x v="1"/>
    <n v="6297.2"/>
    <n v="4220.5200000000004"/>
    <x v="138"/>
    <n v="5"/>
    <n v="2076.6799999999994"/>
    <n v="0.32977831417137765"/>
  </r>
  <r>
    <s v="ORD0141"/>
    <s v="2024-12-08"/>
    <x v="2"/>
    <s v="Chair"/>
    <x v="2"/>
    <x v="0"/>
    <n v="16592.349999999999"/>
    <n v="11152.03"/>
    <x v="139"/>
    <n v="5"/>
    <n v="5440.3199999999979"/>
    <n v="0.32788122237055017"/>
  </r>
  <r>
    <s v="ORD0142"/>
    <s v="2024-01-22"/>
    <x v="0"/>
    <s v="Blender"/>
    <x v="3"/>
    <x v="0"/>
    <n v="674.69"/>
    <n v="394.61"/>
    <x v="140"/>
    <n v="1"/>
    <n v="280.08000000000004"/>
    <n v="0.41512398286620522"/>
  </r>
  <r>
    <s v="ORD0143"/>
    <s v="2024-10-03"/>
    <x v="0"/>
    <s v="Blender"/>
    <x v="3"/>
    <x v="1"/>
    <n v="1419.78"/>
    <n v="849.95"/>
    <x v="141"/>
    <n v="1"/>
    <n v="569.82999999999993"/>
    <n v="0.40135091352181318"/>
  </r>
  <r>
    <s v="ORD0144"/>
    <s v="2024-06-12"/>
    <x v="0"/>
    <s v="Toaster"/>
    <x v="3"/>
    <x v="0"/>
    <n v="2999.25"/>
    <n v="2307.61"/>
    <x v="142"/>
    <n v="5"/>
    <n v="691.63999999999987"/>
    <n v="0.23060431774610315"/>
  </r>
  <r>
    <s v="ORD0145"/>
    <s v="2024-07-16"/>
    <x v="1"/>
    <s v="Headphones"/>
    <x v="3"/>
    <x v="1"/>
    <n v="1097.04"/>
    <n v="750.16"/>
    <x v="143"/>
    <n v="1"/>
    <n v="346.88"/>
    <n v="0.31619631007073579"/>
  </r>
  <r>
    <s v="ORD0146"/>
    <s v="2024-03-17"/>
    <x v="0"/>
    <s v="Microwave"/>
    <x v="2"/>
    <x v="1"/>
    <n v="21717.25"/>
    <n v="18177.5"/>
    <x v="144"/>
    <n v="5"/>
    <n v="3539.75"/>
    <n v="0.16299255200359161"/>
  </r>
  <r>
    <s v="ORD0147"/>
    <s v="2024-02-07"/>
    <x v="2"/>
    <s v="Cabinet"/>
    <x v="1"/>
    <x v="0"/>
    <n v="1603.41"/>
    <n v="1329.26"/>
    <x v="145"/>
    <n v="1"/>
    <n v="274.15000000000009"/>
    <n v="0.17097935025975894"/>
  </r>
  <r>
    <s v="ORD0148"/>
    <s v="2024-08-05"/>
    <x v="0"/>
    <s v="Blender"/>
    <x v="1"/>
    <x v="0"/>
    <n v="6277.6"/>
    <n v="4714.6899999999996"/>
    <x v="146"/>
    <n v="5"/>
    <n v="1562.9100000000008"/>
    <n v="0.24896616541353395"/>
  </r>
  <r>
    <s v="ORD0149"/>
    <s v="2024-09-28"/>
    <x v="0"/>
    <s v="Microwave"/>
    <x v="3"/>
    <x v="1"/>
    <n v="2079.6999999999998"/>
    <n v="1195.3900000000001"/>
    <x v="147"/>
    <n v="5"/>
    <n v="884.30999999999972"/>
    <n v="0.42521036687983832"/>
  </r>
  <r>
    <s v="ORD0150"/>
    <s v="2024-10-13"/>
    <x v="0"/>
    <s v="Toaster"/>
    <x v="0"/>
    <x v="1"/>
    <n v="1992.54"/>
    <n v="1523.12"/>
    <x v="148"/>
    <n v="1"/>
    <n v="469.42000000000007"/>
    <n v="0.23558874602266458"/>
  </r>
  <r>
    <s v="ORD0151"/>
    <s v="2024-12-14"/>
    <x v="1"/>
    <s v="Headphones"/>
    <x v="0"/>
    <x v="1"/>
    <n v="9800.6"/>
    <n v="6606.13"/>
    <x v="149"/>
    <n v="4"/>
    <n v="3194.4700000000003"/>
    <n v="0.32594637063036958"/>
  </r>
  <r>
    <s v="ORD0152"/>
    <s v="2024-09-10"/>
    <x v="2"/>
    <s v="Chair"/>
    <x v="2"/>
    <x v="1"/>
    <n v="5365.89"/>
    <n v="3295.9"/>
    <x v="150"/>
    <n v="3"/>
    <n v="2069.9900000000002"/>
    <n v="0.3857682509332096"/>
  </r>
  <r>
    <s v="ORD0153"/>
    <s v="2024-02-08"/>
    <x v="0"/>
    <s v="Microwave"/>
    <x v="0"/>
    <x v="1"/>
    <n v="1573.12"/>
    <n v="1061.17"/>
    <x v="151"/>
    <n v="2"/>
    <n v="511.94999999999982"/>
    <n v="0.3254360760781122"/>
  </r>
  <r>
    <s v="ORD0154"/>
    <s v="2024-08-03"/>
    <x v="1"/>
    <s v="Headphones"/>
    <x v="0"/>
    <x v="1"/>
    <n v="7022.5"/>
    <n v="4146.2"/>
    <x v="152"/>
    <n v="2"/>
    <n v="2876.3"/>
    <n v="0.40958348166607333"/>
  </r>
  <r>
    <s v="ORD0155"/>
    <s v="2024-11-07"/>
    <x v="1"/>
    <s v="Laptop"/>
    <x v="1"/>
    <x v="0"/>
    <n v="8607.92"/>
    <n v="6066.72"/>
    <x v="153"/>
    <n v="2"/>
    <n v="2541.1999999999998"/>
    <n v="0.29521649829459379"/>
  </r>
  <r>
    <s v="ORD0156"/>
    <s v="2024-01-05"/>
    <x v="2"/>
    <s v="Chair"/>
    <x v="0"/>
    <x v="0"/>
    <n v="4671.3999999999996"/>
    <n v="3029.07"/>
    <x v="154"/>
    <n v="1"/>
    <n v="1642.3299999999995"/>
    <n v="0.35157126343280376"/>
  </r>
  <r>
    <s v="ORD0157"/>
    <s v="2024-05-08"/>
    <x v="2"/>
    <s v="Desk"/>
    <x v="0"/>
    <x v="0"/>
    <n v="6790.56"/>
    <n v="4574.1400000000003"/>
    <x v="155"/>
    <n v="3"/>
    <n v="2216.42"/>
    <n v="0.32639723380693197"/>
  </r>
  <r>
    <s v="ORD0158"/>
    <s v="2024-02-12"/>
    <x v="2"/>
    <s v="Desk"/>
    <x v="1"/>
    <x v="0"/>
    <n v="6667.44"/>
    <n v="4038.13"/>
    <x v="156"/>
    <n v="3"/>
    <n v="2629.3099999999995"/>
    <n v="0.39435075531238373"/>
  </r>
  <r>
    <s v="ORD0159"/>
    <s v="2024-12-31"/>
    <x v="2"/>
    <s v="Desk"/>
    <x v="1"/>
    <x v="1"/>
    <n v="8144.07"/>
    <n v="5303.93"/>
    <x v="157"/>
    <n v="3"/>
    <n v="2840.1399999999994"/>
    <n v="0.34873717932188691"/>
  </r>
  <r>
    <s v="ORD0160"/>
    <s v="2024-11-19"/>
    <x v="0"/>
    <s v="Microwave"/>
    <x v="1"/>
    <x v="1"/>
    <n v="1732.65"/>
    <n v="1037.68"/>
    <x v="158"/>
    <n v="3"/>
    <n v="694.97"/>
    <n v="0.40110235766023145"/>
  </r>
  <r>
    <s v="ORD0161"/>
    <s v="2024-01-23"/>
    <x v="2"/>
    <s v="Desk"/>
    <x v="0"/>
    <x v="0"/>
    <n v="8311.14"/>
    <n v="4543.08"/>
    <x v="159"/>
    <n v="2"/>
    <n v="3768.0599999999995"/>
    <n v="0.45337462730744515"/>
  </r>
  <r>
    <s v="ORD0162"/>
    <s v="2024-08-25"/>
    <x v="1"/>
    <s v="Monitor"/>
    <x v="3"/>
    <x v="0"/>
    <n v="12139.41"/>
    <n v="6730.75"/>
    <x v="160"/>
    <n v="3"/>
    <n v="5408.66"/>
    <n v="0.44554554134014751"/>
  </r>
  <r>
    <s v="ORD0163"/>
    <s v="2024-02-12"/>
    <x v="2"/>
    <s v="Desk"/>
    <x v="0"/>
    <x v="1"/>
    <n v="10022.799999999999"/>
    <n v="5641.59"/>
    <x v="161"/>
    <n v="4"/>
    <n v="4381.2099999999991"/>
    <n v="0.43712435646725462"/>
  </r>
  <r>
    <s v="ORD0164"/>
    <s v="2024-08-07"/>
    <x v="0"/>
    <s v="Toaster"/>
    <x v="3"/>
    <x v="1"/>
    <n v="17710.96"/>
    <n v="12596.84"/>
    <x v="162"/>
    <n v="4"/>
    <n v="5114.119999999999"/>
    <n v="0.2887545339157222"/>
  </r>
  <r>
    <s v="ORD0165"/>
    <s v="2024-09-01"/>
    <x v="2"/>
    <s v="Cabinet"/>
    <x v="2"/>
    <x v="1"/>
    <n v="4733.38"/>
    <n v="3600.14"/>
    <x v="163"/>
    <n v="1"/>
    <n v="1133.2400000000002"/>
    <n v="0.23941454098339879"/>
  </r>
  <r>
    <s v="ORD0166"/>
    <s v="2024-03-16"/>
    <x v="1"/>
    <s v="Keyboard"/>
    <x v="3"/>
    <x v="1"/>
    <n v="5639.97"/>
    <n v="3697.68"/>
    <x v="164"/>
    <n v="3"/>
    <n v="1942.2900000000004"/>
    <n v="0.34437949138027335"/>
  </r>
  <r>
    <s v="ORD0167"/>
    <s v="2024-03-22"/>
    <x v="2"/>
    <s v="Cabinet"/>
    <x v="0"/>
    <x v="0"/>
    <n v="3421.31"/>
    <n v="1934.04"/>
    <x v="165"/>
    <n v="1"/>
    <n v="1487.27"/>
    <n v="0.43470775813942614"/>
  </r>
  <r>
    <s v="ORD0168"/>
    <s v="2024-05-30"/>
    <x v="0"/>
    <s v="Blender"/>
    <x v="3"/>
    <x v="0"/>
    <n v="8949.85"/>
    <n v="5014.41"/>
    <x v="166"/>
    <n v="5"/>
    <n v="3935.4400000000005"/>
    <n v="0.43972133611177844"/>
  </r>
  <r>
    <s v="ORD0169"/>
    <s v="2024-09-09"/>
    <x v="0"/>
    <s v="Microwave"/>
    <x v="0"/>
    <x v="1"/>
    <n v="10267.65"/>
    <n v="6945.63"/>
    <x v="167"/>
    <n v="3"/>
    <n v="3322.0199999999995"/>
    <n v="0.32354238798556628"/>
  </r>
  <r>
    <s v="ORD0170"/>
    <s v="2024-05-09"/>
    <x v="1"/>
    <s v="Keyboard"/>
    <x v="1"/>
    <x v="1"/>
    <n v="2272.89"/>
    <n v="1452.57"/>
    <x v="168"/>
    <n v="3"/>
    <n v="820.31999999999994"/>
    <n v="0.3609149584889722"/>
  </r>
  <r>
    <s v="ORD0171"/>
    <s v="2024-05-06"/>
    <x v="2"/>
    <s v="Chair"/>
    <x v="2"/>
    <x v="1"/>
    <n v="14575.41"/>
    <n v="12321.79"/>
    <x v="169"/>
    <n v="3"/>
    <n v="2253.619999999999"/>
    <n v="0.15461794899766107"/>
  </r>
  <r>
    <s v="ORD0172"/>
    <s v="2024-08-03"/>
    <x v="1"/>
    <s v="Headphones"/>
    <x v="2"/>
    <x v="0"/>
    <n v="3253.66"/>
    <n v="1960.49"/>
    <x v="170"/>
    <n v="2"/>
    <n v="1293.1699999999998"/>
    <n v="0.39745087071175228"/>
  </r>
  <r>
    <s v="ORD0173"/>
    <s v="2024-12-26"/>
    <x v="1"/>
    <s v="Monitor"/>
    <x v="3"/>
    <x v="0"/>
    <n v="24940.2"/>
    <n v="21026.16"/>
    <x v="171"/>
    <n v="5"/>
    <n v="3914.0400000000009"/>
    <n v="0.1569369932879448"/>
  </r>
  <r>
    <s v="ORD0174"/>
    <s v="2024-12-04"/>
    <x v="0"/>
    <s v="Blender"/>
    <x v="0"/>
    <x v="0"/>
    <n v="5560.52"/>
    <n v="4440.67"/>
    <x v="172"/>
    <n v="2"/>
    <n v="1119.8500000000004"/>
    <n v="0.20139303518375984"/>
  </r>
  <r>
    <s v="ORD0175"/>
    <s v="2024-10-12"/>
    <x v="1"/>
    <s v="Keyboard"/>
    <x v="0"/>
    <x v="0"/>
    <n v="583.21"/>
    <n v="441.46"/>
    <x v="173"/>
    <n v="1"/>
    <n v="141.75000000000006"/>
    <n v="0.24305138800775028"/>
  </r>
  <r>
    <s v="ORD0176"/>
    <s v="2024-12-19"/>
    <x v="2"/>
    <s v="Desk"/>
    <x v="3"/>
    <x v="1"/>
    <n v="12361.12"/>
    <n v="8717.51"/>
    <x v="174"/>
    <n v="4"/>
    <n v="3643.6100000000006"/>
    <n v="0.29476374309124093"/>
  </r>
  <r>
    <s v="ORD0177"/>
    <s v="2024-12-02"/>
    <x v="2"/>
    <s v="Chair"/>
    <x v="3"/>
    <x v="1"/>
    <n v="1222.52"/>
    <n v="674.06"/>
    <x v="175"/>
    <n v="1"/>
    <n v="548.46"/>
    <n v="0.44863069724830679"/>
  </r>
  <r>
    <s v="ORD0178"/>
    <s v="2024-02-07"/>
    <x v="2"/>
    <s v="Cabinet"/>
    <x v="2"/>
    <x v="1"/>
    <n v="7714.11"/>
    <n v="4760.5600000000004"/>
    <x v="176"/>
    <n v="3"/>
    <n v="2953.5499999999993"/>
    <n v="0.38287631366418151"/>
  </r>
  <r>
    <s v="ORD0179"/>
    <s v="2024-02-13"/>
    <x v="1"/>
    <s v="Headphones"/>
    <x v="0"/>
    <x v="0"/>
    <n v="12915.93"/>
    <n v="10354.82"/>
    <x v="177"/>
    <n v="3"/>
    <n v="2561.1100000000006"/>
    <n v="0.19829079284263701"/>
  </r>
  <r>
    <s v="ORD0180"/>
    <s v="2024-07-27"/>
    <x v="0"/>
    <s v="Blender"/>
    <x v="0"/>
    <x v="0"/>
    <n v="19367.2"/>
    <n v="12621.13"/>
    <x v="178"/>
    <n v="5"/>
    <n v="6746.0700000000015"/>
    <n v="0.34832448676112199"/>
  </r>
  <r>
    <s v="ORD0181"/>
    <s v="2024-02-22"/>
    <x v="0"/>
    <s v="Toaster"/>
    <x v="2"/>
    <x v="1"/>
    <n v="7088.1"/>
    <n v="4126.92"/>
    <x v="179"/>
    <n v="3"/>
    <n v="2961.1800000000003"/>
    <n v="0.41776780801625263"/>
  </r>
  <r>
    <s v="ORD0182"/>
    <s v="2024-07-31"/>
    <x v="2"/>
    <s v="Chair"/>
    <x v="0"/>
    <x v="1"/>
    <n v="1943.82"/>
    <n v="1559.63"/>
    <x v="180"/>
    <n v="1"/>
    <n v="384.18999999999983"/>
    <n v="0.19764690146206945"/>
  </r>
  <r>
    <s v="ORD0183"/>
    <s v="2024-03-26"/>
    <x v="0"/>
    <s v="Blender"/>
    <x v="3"/>
    <x v="0"/>
    <n v="6352.48"/>
    <n v="3822.1"/>
    <x v="181"/>
    <n v="4"/>
    <n v="2530.3799999999997"/>
    <n v="0.39832947132458502"/>
  </r>
  <r>
    <s v="ORD0184"/>
    <s v="2024-12-02"/>
    <x v="1"/>
    <s v="Laptop"/>
    <x v="2"/>
    <x v="1"/>
    <n v="957.45"/>
    <n v="705.7"/>
    <x v="182"/>
    <n v="3"/>
    <n v="251.75"/>
    <n v="0.26293801242884746"/>
  </r>
  <r>
    <s v="ORD0185"/>
    <s v="2024-02-07"/>
    <x v="1"/>
    <s v="Monitor"/>
    <x v="3"/>
    <x v="0"/>
    <n v="957.82"/>
    <n v="651.28"/>
    <x v="183"/>
    <n v="1"/>
    <n v="306.54000000000008"/>
    <n v="0.32003925581006876"/>
  </r>
  <r>
    <s v="ORD0186"/>
    <s v="2024-02-15"/>
    <x v="0"/>
    <s v="Microwave"/>
    <x v="2"/>
    <x v="0"/>
    <n v="5269.02"/>
    <n v="2670.35"/>
    <x v="184"/>
    <n v="3"/>
    <n v="2598.6700000000005"/>
    <n v="0.49319797609422633"/>
  </r>
  <r>
    <s v="ORD0187"/>
    <s v="2024-03-15"/>
    <x v="2"/>
    <s v="Cabinet"/>
    <x v="3"/>
    <x v="1"/>
    <n v="14825.95"/>
    <n v="12305.76"/>
    <x v="185"/>
    <n v="5"/>
    <n v="2520.1900000000005"/>
    <n v="0.16998505997929308"/>
  </r>
  <r>
    <s v="ORD0188"/>
    <s v="2024-11-26"/>
    <x v="2"/>
    <s v="Desk"/>
    <x v="3"/>
    <x v="0"/>
    <n v="3186.3"/>
    <n v="2445.98"/>
    <x v="186"/>
    <n v="1"/>
    <n v="740.32000000000016"/>
    <n v="0.23234472585757779"/>
  </r>
  <r>
    <s v="ORD0189"/>
    <s v="2024-02-13"/>
    <x v="0"/>
    <s v="Toaster"/>
    <x v="2"/>
    <x v="0"/>
    <n v="4009.04"/>
    <n v="3032.02"/>
    <x v="187"/>
    <n v="1"/>
    <n v="977.02"/>
    <n v="0.2437042284437172"/>
  </r>
  <r>
    <s v="ORD0190"/>
    <s v="2024-01-31"/>
    <x v="1"/>
    <s v="Headphones"/>
    <x v="1"/>
    <x v="0"/>
    <n v="1482.07"/>
    <n v="937.99"/>
    <x v="188"/>
    <n v="1"/>
    <n v="544.07999999999993"/>
    <n v="0.36710816628094484"/>
  </r>
  <r>
    <s v="ORD0191"/>
    <s v="2024-09-28"/>
    <x v="2"/>
    <s v="Desk"/>
    <x v="2"/>
    <x v="0"/>
    <n v="17070.7"/>
    <n v="10054.6"/>
    <x v="189"/>
    <n v="5"/>
    <n v="7016.1"/>
    <n v="0.41100247793002043"/>
  </r>
  <r>
    <s v="ORD0192"/>
    <s v="2024-11-10"/>
    <x v="1"/>
    <s v="Monitor"/>
    <x v="3"/>
    <x v="0"/>
    <n v="243.99"/>
    <n v="181.76"/>
    <x v="190"/>
    <n v="1"/>
    <n v="62.230000000000018"/>
    <n v="0.25505143653428425"/>
  </r>
  <r>
    <s v="ORD0193"/>
    <s v="2024-03-15"/>
    <x v="1"/>
    <s v="Monitor"/>
    <x v="3"/>
    <x v="1"/>
    <n v="19184.64"/>
    <n v="12362.55"/>
    <x v="191"/>
    <n v="4"/>
    <n v="6822.09"/>
    <n v="0.35560166883506805"/>
  </r>
  <r>
    <s v="ORD0194"/>
    <s v="2024-02-22"/>
    <x v="1"/>
    <s v="Monitor"/>
    <x v="0"/>
    <x v="1"/>
    <n v="4793.84"/>
    <n v="3330.8"/>
    <x v="192"/>
    <n v="4"/>
    <n v="1463.04"/>
    <n v="0.30519166263371322"/>
  </r>
  <r>
    <s v="ORD0195"/>
    <s v="2024-10-25"/>
    <x v="0"/>
    <s v="Toaster"/>
    <x v="0"/>
    <x v="0"/>
    <n v="13582.23"/>
    <n v="7598.16"/>
    <x v="193"/>
    <n v="3"/>
    <n v="5984.07"/>
    <n v="0.44058081773022545"/>
  </r>
  <r>
    <s v="ORD0196"/>
    <s v="2024-12-18"/>
    <x v="1"/>
    <s v="Monitor"/>
    <x v="1"/>
    <x v="1"/>
    <n v="3548.44"/>
    <n v="1968.13"/>
    <x v="194"/>
    <n v="1"/>
    <n v="1580.31"/>
    <n v="0.44535345109400187"/>
  </r>
  <r>
    <s v="ORD0197"/>
    <s v="2024-03-12"/>
    <x v="2"/>
    <s v="Chair"/>
    <x v="2"/>
    <x v="0"/>
    <n v="7668.18"/>
    <n v="4614.7"/>
    <x v="195"/>
    <n v="2"/>
    <n v="3053.4800000000005"/>
    <n v="0.39820139850655573"/>
  </r>
  <r>
    <s v="ORD0198"/>
    <s v="2024-12-24"/>
    <x v="2"/>
    <s v="Cabinet"/>
    <x v="2"/>
    <x v="0"/>
    <n v="16493.150000000001"/>
    <n v="11285.07"/>
    <x v="196"/>
    <n v="5"/>
    <n v="5208.0800000000017"/>
    <n v="0.31577230547227192"/>
  </r>
  <r>
    <s v="ORD0199"/>
    <s v="2024-08-14"/>
    <x v="1"/>
    <s v="Monitor"/>
    <x v="2"/>
    <x v="0"/>
    <n v="4706.0200000000004"/>
    <n v="3464.94"/>
    <x v="197"/>
    <n v="1"/>
    <n v="1241.0800000000004"/>
    <n v="0.26372178613775554"/>
  </r>
  <r>
    <s v="ORD0200"/>
    <s v="2024-05-26"/>
    <x v="1"/>
    <s v="Laptop"/>
    <x v="3"/>
    <x v="0"/>
    <n v="24605.200000000001"/>
    <n v="14548.91"/>
    <x v="198"/>
    <n v="5"/>
    <n v="10056.290000000001"/>
    <n v="0.4087058833092192"/>
  </r>
  <r>
    <m/>
    <m/>
    <x v="3"/>
    <m/>
    <x v="4"/>
    <x v="2"/>
    <m/>
    <m/>
    <x v="19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E63D8-4683-4C0A-AA70-D42F7FF96BBD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2">
    <pivotField showAll="0"/>
    <pivotField showAll="0"/>
    <pivotField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Margin" fld="11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CFB59-EBA8-45B1-8B3F-F6E76B71200E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3:C6" firstHeaderRow="0" firstDataRow="1" firstDataCol="1"/>
  <pivotFields count="12"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dataField="1" showAll="0"/>
    <pivotField showAll="0"/>
    <pivotField showAll="0"/>
    <pivotField showAll="0"/>
    <pivotField dataField="1"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Revenue" fld="6" baseField="0" baseItem="0"/>
    <dataField name="Sum of Profit" fld="10" baseField="0" baseItem="0"/>
  </dataFields>
  <chartFormats count="2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360DD-F803-4FB9-8199-74CA7150079B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9" firstHeaderRow="1" firstDataRow="1" firstDataCol="1"/>
  <pivotFields count="12"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2"/>
    <field x="4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ofitMargin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438DF-0B97-41E6-B970-477D08166F68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C7" firstHeaderRow="0" firstDataRow="1" firstDataCol="1"/>
  <pivotFields count="12"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rketingSpend" fld="8" baseField="0" baseItem="0"/>
    <dataField name="Sum of Profit" fld="10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E57EA8-D203-4032-9CF4-347C21967AC7}" name="Table1" displayName="Table1" ref="N2:O9" totalsRowShown="0" headerRowDxfId="3" dataDxfId="2">
  <autoFilter ref="N2:O9" xr:uid="{D4E57EA8-D203-4032-9CF4-347C21967AC7}"/>
  <tableColumns count="2">
    <tableColumn id="1" xr3:uid="{4B04DD4A-87AC-4598-80EF-59DE70CE8AF7}" name="KPI" dataDxfId="1"/>
    <tableColumn id="2" xr3:uid="{2DDC28AE-4CDB-4C97-AEEC-16D3D6E64DB6}" name="Value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A049-160E-4682-AB26-9505F7B1C9A6}">
  <dimension ref="A3:B9"/>
  <sheetViews>
    <sheetView workbookViewId="0">
      <selection activeCell="B15" sqref="B15"/>
    </sheetView>
  </sheetViews>
  <sheetFormatPr defaultRowHeight="14.4" x14ac:dyDescent="0.3"/>
  <cols>
    <col min="1" max="1" width="12.5546875" bestFit="1" customWidth="1"/>
    <col min="2" max="2" width="18.33203125" bestFit="1" customWidth="1"/>
  </cols>
  <sheetData>
    <row r="3" spans="1:2" x14ac:dyDescent="0.3">
      <c r="A3" s="9" t="s">
        <v>390</v>
      </c>
      <c r="B3" t="s">
        <v>394</v>
      </c>
    </row>
    <row r="4" spans="1:2" x14ac:dyDescent="0.3">
      <c r="A4" s="10" t="s">
        <v>14</v>
      </c>
      <c r="B4" s="11">
        <v>15.287309064491875</v>
      </c>
    </row>
    <row r="5" spans="1:2" x14ac:dyDescent="0.3">
      <c r="A5" s="10" t="s">
        <v>38</v>
      </c>
      <c r="B5" s="11">
        <v>19.455280499468191</v>
      </c>
    </row>
    <row r="6" spans="1:2" x14ac:dyDescent="0.3">
      <c r="A6" s="10" t="s">
        <v>27</v>
      </c>
      <c r="B6" s="11">
        <v>15.160073530178135</v>
      </c>
    </row>
    <row r="7" spans="1:2" x14ac:dyDescent="0.3">
      <c r="A7" s="10" t="s">
        <v>23</v>
      </c>
      <c r="B7" s="11">
        <v>14.104004107197284</v>
      </c>
    </row>
    <row r="8" spans="1:2" x14ac:dyDescent="0.3">
      <c r="A8" s="10" t="s">
        <v>395</v>
      </c>
      <c r="B8" s="11"/>
    </row>
    <row r="9" spans="1:2" x14ac:dyDescent="0.3">
      <c r="A9" s="10" t="s">
        <v>391</v>
      </c>
      <c r="B9" s="11">
        <v>64.006667201335489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0A50-B6C1-484D-8DA1-B0CCD9DDAD65}">
  <dimension ref="A3:C6"/>
  <sheetViews>
    <sheetView workbookViewId="0">
      <selection activeCell="N9" sqref="N9"/>
    </sheetView>
  </sheetViews>
  <sheetFormatPr defaultRowHeight="14.4" x14ac:dyDescent="0.3"/>
  <cols>
    <col min="1" max="1" width="12.5546875" bestFit="1" customWidth="1"/>
    <col min="2" max="2" width="19.21875" bestFit="1" customWidth="1"/>
    <col min="3" max="3" width="12.109375" bestFit="1" customWidth="1"/>
  </cols>
  <sheetData>
    <row r="3" spans="1:3" x14ac:dyDescent="0.3">
      <c r="A3" s="9" t="s">
        <v>390</v>
      </c>
      <c r="B3" t="s">
        <v>392</v>
      </c>
      <c r="C3" t="s">
        <v>393</v>
      </c>
    </row>
    <row r="4" spans="1:3" x14ac:dyDescent="0.3">
      <c r="A4" s="10" t="s">
        <v>15</v>
      </c>
      <c r="B4" s="11">
        <v>754380.67</v>
      </c>
      <c r="C4" s="11">
        <v>256547.16000000015</v>
      </c>
    </row>
    <row r="5" spans="1:3" x14ac:dyDescent="0.3">
      <c r="A5" s="10" t="s">
        <v>20</v>
      </c>
      <c r="B5" s="11">
        <v>829146.95999999973</v>
      </c>
      <c r="C5" s="11">
        <v>256799.07000000004</v>
      </c>
    </row>
    <row r="6" spans="1:3" x14ac:dyDescent="0.3">
      <c r="A6" s="10" t="s">
        <v>391</v>
      </c>
      <c r="B6" s="11">
        <v>1583527.63</v>
      </c>
      <c r="C6" s="11">
        <v>513346.23000000021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1C78-6CAA-4BD8-B5D9-603124571ED6}">
  <dimension ref="A3:B19"/>
  <sheetViews>
    <sheetView workbookViewId="0">
      <selection activeCell="Q23" sqref="Q23"/>
    </sheetView>
  </sheetViews>
  <sheetFormatPr defaultRowHeight="14.4" x14ac:dyDescent="0.3"/>
  <cols>
    <col min="1" max="1" width="12.5546875" bestFit="1" customWidth="1"/>
    <col min="2" max="2" width="18.33203125" bestFit="1" customWidth="1"/>
  </cols>
  <sheetData>
    <row r="3" spans="1:2" x14ac:dyDescent="0.3">
      <c r="A3" s="9" t="s">
        <v>390</v>
      </c>
      <c r="B3" t="s">
        <v>394</v>
      </c>
    </row>
    <row r="4" spans="1:2" x14ac:dyDescent="0.3">
      <c r="A4" s="10" t="s">
        <v>12</v>
      </c>
      <c r="B4" s="11">
        <v>20.965949961270681</v>
      </c>
    </row>
    <row r="5" spans="1:2" x14ac:dyDescent="0.3">
      <c r="A5" s="12" t="s">
        <v>14</v>
      </c>
      <c r="B5" s="11">
        <v>5.114336924282652</v>
      </c>
    </row>
    <row r="6" spans="1:2" x14ac:dyDescent="0.3">
      <c r="A6" s="12" t="s">
        <v>38</v>
      </c>
      <c r="B6" s="11">
        <v>6.7942939571748742</v>
      </c>
    </row>
    <row r="7" spans="1:2" x14ac:dyDescent="0.3">
      <c r="A7" s="12" t="s">
        <v>27</v>
      </c>
      <c r="B7" s="11">
        <v>5.3167988114513793</v>
      </c>
    </row>
    <row r="8" spans="1:2" x14ac:dyDescent="0.3">
      <c r="A8" s="12" t="s">
        <v>23</v>
      </c>
      <c r="B8" s="11">
        <v>3.7405202683617755</v>
      </c>
    </row>
    <row r="9" spans="1:2" x14ac:dyDescent="0.3">
      <c r="A9" s="10" t="s">
        <v>18</v>
      </c>
      <c r="B9" s="11">
        <v>18.632408142135201</v>
      </c>
    </row>
    <row r="10" spans="1:2" x14ac:dyDescent="0.3">
      <c r="A10" s="12" t="s">
        <v>14</v>
      </c>
      <c r="B10" s="11">
        <v>4.9034713063967352</v>
      </c>
    </row>
    <row r="11" spans="1:2" x14ac:dyDescent="0.3">
      <c r="A11" s="12" t="s">
        <v>38</v>
      </c>
      <c r="B11" s="11">
        <v>6.3784260728777529</v>
      </c>
    </row>
    <row r="12" spans="1:2" x14ac:dyDescent="0.3">
      <c r="A12" s="12" t="s">
        <v>27</v>
      </c>
      <c r="B12" s="11">
        <v>4.0037772748886207</v>
      </c>
    </row>
    <row r="13" spans="1:2" x14ac:dyDescent="0.3">
      <c r="A13" s="12" t="s">
        <v>23</v>
      </c>
      <c r="B13" s="11">
        <v>3.346733487972092</v>
      </c>
    </row>
    <row r="14" spans="1:2" x14ac:dyDescent="0.3">
      <c r="A14" s="10" t="s">
        <v>25</v>
      </c>
      <c r="B14" s="11">
        <v>24.408309097929603</v>
      </c>
    </row>
    <row r="15" spans="1:2" x14ac:dyDescent="0.3">
      <c r="A15" s="12" t="s">
        <v>14</v>
      </c>
      <c r="B15" s="11">
        <v>5.2695008338124856</v>
      </c>
    </row>
    <row r="16" spans="1:2" x14ac:dyDescent="0.3">
      <c r="A16" s="12" t="s">
        <v>38</v>
      </c>
      <c r="B16" s="11">
        <v>6.282560469415567</v>
      </c>
    </row>
    <row r="17" spans="1:2" x14ac:dyDescent="0.3">
      <c r="A17" s="12" t="s">
        <v>27</v>
      </c>
      <c r="B17" s="11">
        <v>5.839497443838134</v>
      </c>
    </row>
    <row r="18" spans="1:2" x14ac:dyDescent="0.3">
      <c r="A18" s="12" t="s">
        <v>23</v>
      </c>
      <c r="B18" s="11">
        <v>7.0167503508634166</v>
      </c>
    </row>
    <row r="19" spans="1:2" x14ac:dyDescent="0.3">
      <c r="A19" s="10" t="s">
        <v>391</v>
      </c>
      <c r="B19" s="11">
        <v>64.006667201335489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669E-2927-4BDD-A6F5-EF4B6193E2D3}">
  <dimension ref="A3:C7"/>
  <sheetViews>
    <sheetView workbookViewId="0">
      <selection activeCell="O6" sqref="O6"/>
    </sheetView>
  </sheetViews>
  <sheetFormatPr defaultRowHeight="14.4" x14ac:dyDescent="0.3"/>
  <cols>
    <col min="1" max="1" width="12.5546875" bestFit="1" customWidth="1"/>
    <col min="2" max="2" width="21.77734375" bestFit="1" customWidth="1"/>
    <col min="3" max="3" width="12.109375" bestFit="1" customWidth="1"/>
  </cols>
  <sheetData>
    <row r="3" spans="1:3" x14ac:dyDescent="0.3">
      <c r="A3" s="9" t="s">
        <v>390</v>
      </c>
      <c r="B3" t="s">
        <v>396</v>
      </c>
      <c r="C3" t="s">
        <v>393</v>
      </c>
    </row>
    <row r="4" spans="1:3" x14ac:dyDescent="0.3">
      <c r="A4" s="10" t="s">
        <v>12</v>
      </c>
      <c r="B4" s="11">
        <v>18637.680000000004</v>
      </c>
      <c r="C4" s="11">
        <v>166518.78999999998</v>
      </c>
    </row>
    <row r="5" spans="1:3" x14ac:dyDescent="0.3">
      <c r="A5" s="10" t="s">
        <v>18</v>
      </c>
      <c r="B5" s="11">
        <v>17224.540000000005</v>
      </c>
      <c r="C5" s="11">
        <v>148328.99</v>
      </c>
    </row>
    <row r="6" spans="1:3" x14ac:dyDescent="0.3">
      <c r="A6" s="10" t="s">
        <v>25</v>
      </c>
      <c r="B6" s="11">
        <v>20915.710000000003</v>
      </c>
      <c r="C6" s="11">
        <v>198498.44999999995</v>
      </c>
    </row>
    <row r="7" spans="1:3" x14ac:dyDescent="0.3">
      <c r="A7" s="10" t="s">
        <v>391</v>
      </c>
      <c r="B7" s="11">
        <v>56777.930000000008</v>
      </c>
      <c r="C7" s="11">
        <v>513346.22999999992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>
      <pane ySplit="1" topLeftCell="A161" activePane="bottomLeft" state="frozen"/>
      <selection pane="bottomLeft" activeCell="N167" sqref="N167"/>
    </sheetView>
  </sheetViews>
  <sheetFormatPr defaultRowHeight="14.4" x14ac:dyDescent="0.3"/>
  <cols>
    <col min="2" max="2" width="10.33203125" bestFit="1" customWidth="1"/>
    <col min="3" max="3" width="15.44140625" bestFit="1" customWidth="1"/>
    <col min="4" max="4" width="12.88671875" bestFit="1" customWidth="1"/>
    <col min="6" max="6" width="13.33203125" bestFit="1" customWidth="1"/>
    <col min="7" max="7" width="14.5546875" style="3" bestFit="1" customWidth="1"/>
    <col min="8" max="8" width="11.33203125" style="3" bestFit="1" customWidth="1"/>
    <col min="9" max="9" width="16.88671875" style="3" bestFit="1" customWidth="1"/>
    <col min="10" max="10" width="8.44140625" bestFit="1" customWidth="1"/>
    <col min="11" max="11" width="14.21875" customWidth="1"/>
    <col min="12" max="12" width="15.21875" customWidth="1"/>
    <col min="13" max="13" width="21.88671875" bestFit="1" customWidth="1"/>
    <col min="14" max="14" width="14.44140625" bestFit="1" customWidth="1"/>
    <col min="15" max="15" width="18.44140625" bestFit="1" customWidth="1"/>
    <col min="16" max="16" width="13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380</v>
      </c>
      <c r="L1" s="2" t="s">
        <v>381</v>
      </c>
      <c r="M1" s="2"/>
      <c r="N1" s="2"/>
    </row>
    <row r="2" spans="1:15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3">
        <v>8835.44</v>
      </c>
      <c r="H2" s="3">
        <v>6473.07</v>
      </c>
      <c r="I2" s="3">
        <v>153.46</v>
      </c>
      <c r="J2">
        <v>2</v>
      </c>
      <c r="K2" s="4">
        <f>G2-H2</f>
        <v>2362.3700000000008</v>
      </c>
      <c r="L2" s="5">
        <f>K2/G2</f>
        <v>0.26737434694819961</v>
      </c>
      <c r="M2" s="4"/>
      <c r="N2" s="1" t="s">
        <v>383</v>
      </c>
      <c r="O2" s="6" t="s">
        <v>384</v>
      </c>
    </row>
    <row r="3" spans="1:15" x14ac:dyDescent="0.3">
      <c r="A3" t="s">
        <v>16</v>
      </c>
      <c r="B3" t="s">
        <v>17</v>
      </c>
      <c r="C3" t="s">
        <v>18</v>
      </c>
      <c r="D3" t="s">
        <v>19</v>
      </c>
      <c r="E3" t="s">
        <v>14</v>
      </c>
      <c r="F3" t="s">
        <v>20</v>
      </c>
      <c r="G3" s="3">
        <v>6094.5</v>
      </c>
      <c r="H3" s="3">
        <v>3491.74</v>
      </c>
      <c r="I3" s="3">
        <v>231.08</v>
      </c>
      <c r="J3">
        <v>5</v>
      </c>
      <c r="K3" s="4">
        <f t="shared" ref="K3:K66" si="0">G3-H3</f>
        <v>2602.7600000000002</v>
      </c>
      <c r="L3" s="5">
        <f t="shared" ref="L3:L66" si="1">K3/G3</f>
        <v>0.42706702764787929</v>
      </c>
      <c r="M3" s="4"/>
      <c r="N3" s="1" t="s">
        <v>382</v>
      </c>
      <c r="O3" s="6">
        <f>SUM(H2:H201)</f>
        <v>1070181.3999999999</v>
      </c>
    </row>
    <row r="4" spans="1:15" x14ac:dyDescent="0.3">
      <c r="A4" t="s">
        <v>21</v>
      </c>
      <c r="B4" t="s">
        <v>11</v>
      </c>
      <c r="C4" t="s">
        <v>12</v>
      </c>
      <c r="D4" t="s">
        <v>22</v>
      </c>
      <c r="E4" t="s">
        <v>23</v>
      </c>
      <c r="F4" t="s">
        <v>20</v>
      </c>
      <c r="G4" s="3">
        <v>17535.240000000002</v>
      </c>
      <c r="H4" s="3">
        <v>10952.95</v>
      </c>
      <c r="I4" s="3">
        <v>159.52000000000001</v>
      </c>
      <c r="J4">
        <v>4</v>
      </c>
      <c r="K4" s="4">
        <f t="shared" si="0"/>
        <v>6582.2900000000009</v>
      </c>
      <c r="L4" s="5">
        <f t="shared" si="1"/>
        <v>0.37537495922496644</v>
      </c>
      <c r="M4" s="4"/>
      <c r="N4" s="1" t="s">
        <v>385</v>
      </c>
      <c r="O4" s="6">
        <f>SUM(G2:G201)</f>
        <v>1583527.6299999994</v>
      </c>
    </row>
    <row r="5" spans="1:15" x14ac:dyDescent="0.3">
      <c r="A5" t="s">
        <v>24</v>
      </c>
      <c r="B5" t="s">
        <v>17</v>
      </c>
      <c r="C5" t="s">
        <v>25</v>
      </c>
      <c r="D5" t="s">
        <v>26</v>
      </c>
      <c r="E5" t="s">
        <v>27</v>
      </c>
      <c r="F5" t="s">
        <v>20</v>
      </c>
      <c r="G5" s="3">
        <v>3141.96</v>
      </c>
      <c r="H5" s="3">
        <v>2432.23</v>
      </c>
      <c r="I5" s="3">
        <v>486.53</v>
      </c>
      <c r="J5">
        <v>4</v>
      </c>
      <c r="K5" s="4">
        <f t="shared" si="0"/>
        <v>709.73</v>
      </c>
      <c r="L5" s="5">
        <f t="shared" si="1"/>
        <v>0.22588766247819833</v>
      </c>
      <c r="M5" s="4"/>
      <c r="N5" s="1" t="s">
        <v>386</v>
      </c>
      <c r="O5" s="6">
        <f>SUM(K2:K201)</f>
        <v>513346.22999999986</v>
      </c>
    </row>
    <row r="6" spans="1:15" x14ac:dyDescent="0.3">
      <c r="A6" t="s">
        <v>28</v>
      </c>
      <c r="B6" t="s">
        <v>29</v>
      </c>
      <c r="C6" t="s">
        <v>25</v>
      </c>
      <c r="D6" t="s">
        <v>30</v>
      </c>
      <c r="E6" t="s">
        <v>27</v>
      </c>
      <c r="F6" t="s">
        <v>20</v>
      </c>
      <c r="G6" s="3">
        <v>9719.76</v>
      </c>
      <c r="H6" s="3">
        <v>7979.42</v>
      </c>
      <c r="I6" s="3">
        <v>216.57</v>
      </c>
      <c r="J6">
        <v>3</v>
      </c>
      <c r="K6" s="4">
        <f t="shared" si="0"/>
        <v>1740.3400000000001</v>
      </c>
      <c r="L6" s="5">
        <f t="shared" si="1"/>
        <v>0.17905174613364941</v>
      </c>
      <c r="M6" s="4"/>
      <c r="N6" s="1" t="s">
        <v>389</v>
      </c>
      <c r="O6" s="7">
        <f>AVERAGE(L2:L201)</f>
        <v>0.32003333600667738</v>
      </c>
    </row>
    <row r="7" spans="1:15" x14ac:dyDescent="0.3">
      <c r="A7" t="s">
        <v>31</v>
      </c>
      <c r="B7" t="s">
        <v>32</v>
      </c>
      <c r="C7" t="s">
        <v>25</v>
      </c>
      <c r="D7" t="s">
        <v>30</v>
      </c>
      <c r="E7" t="s">
        <v>14</v>
      </c>
      <c r="F7" t="s">
        <v>15</v>
      </c>
      <c r="G7" s="3">
        <v>3587.64</v>
      </c>
      <c r="H7" s="3">
        <v>2773.83</v>
      </c>
      <c r="I7" s="3">
        <v>132.76</v>
      </c>
      <c r="J7">
        <v>2</v>
      </c>
      <c r="K7" s="4">
        <f t="shared" si="0"/>
        <v>813.81</v>
      </c>
      <c r="L7" s="5">
        <f t="shared" si="1"/>
        <v>0.22683714085025253</v>
      </c>
      <c r="M7" s="4"/>
      <c r="N7" s="1" t="s">
        <v>388</v>
      </c>
      <c r="O7" s="6">
        <f>SUM(I2:I201)</f>
        <v>56777.929999999964</v>
      </c>
    </row>
    <row r="8" spans="1:15" x14ac:dyDescent="0.3">
      <c r="A8" t="s">
        <v>33</v>
      </c>
      <c r="B8" t="s">
        <v>34</v>
      </c>
      <c r="C8" t="s">
        <v>12</v>
      </c>
      <c r="D8" t="s">
        <v>35</v>
      </c>
      <c r="E8" t="s">
        <v>14</v>
      </c>
      <c r="F8" t="s">
        <v>15</v>
      </c>
      <c r="G8" s="3">
        <v>2348.73</v>
      </c>
      <c r="H8" s="3">
        <v>1535.94</v>
      </c>
      <c r="I8" s="3">
        <v>416.78</v>
      </c>
      <c r="J8">
        <v>1</v>
      </c>
      <c r="K8" s="4">
        <f t="shared" si="0"/>
        <v>812.79</v>
      </c>
      <c r="L8" s="5">
        <f t="shared" si="1"/>
        <v>0.34605510211901747</v>
      </c>
      <c r="M8" s="4"/>
      <c r="N8" s="1" t="s">
        <v>387</v>
      </c>
      <c r="O8" s="8">
        <f>(O5 - O7) / O7</f>
        <v>8.041298793386801</v>
      </c>
    </row>
    <row r="9" spans="1:15" x14ac:dyDescent="0.3">
      <c r="A9" t="s">
        <v>36</v>
      </c>
      <c r="B9" t="s">
        <v>37</v>
      </c>
      <c r="C9" t="s">
        <v>25</v>
      </c>
      <c r="D9" t="s">
        <v>26</v>
      </c>
      <c r="E9" t="s">
        <v>38</v>
      </c>
      <c r="F9" t="s">
        <v>20</v>
      </c>
      <c r="G9" s="3">
        <v>6967.32</v>
      </c>
      <c r="H9" s="3">
        <v>5733.88</v>
      </c>
      <c r="I9" s="3">
        <v>194.94</v>
      </c>
      <c r="J9">
        <v>4</v>
      </c>
      <c r="K9" s="4">
        <f t="shared" si="0"/>
        <v>1233.4399999999996</v>
      </c>
      <c r="L9" s="5">
        <f t="shared" si="1"/>
        <v>0.17703220176481052</v>
      </c>
      <c r="M9" s="4"/>
      <c r="N9" s="1"/>
      <c r="O9" s="1"/>
    </row>
    <row r="10" spans="1:15" x14ac:dyDescent="0.3">
      <c r="A10" t="s">
        <v>39</v>
      </c>
      <c r="B10" t="s">
        <v>40</v>
      </c>
      <c r="C10" t="s">
        <v>25</v>
      </c>
      <c r="D10" t="s">
        <v>30</v>
      </c>
      <c r="E10" t="s">
        <v>38</v>
      </c>
      <c r="F10" t="s">
        <v>15</v>
      </c>
      <c r="G10" s="3">
        <v>9073.6200000000008</v>
      </c>
      <c r="H10" s="3">
        <v>7566.68</v>
      </c>
      <c r="I10" s="3">
        <v>320.77999999999997</v>
      </c>
      <c r="J10">
        <v>2</v>
      </c>
      <c r="K10" s="4">
        <f t="shared" si="0"/>
        <v>1506.9400000000005</v>
      </c>
      <c r="L10" s="5">
        <f t="shared" si="1"/>
        <v>0.16607924951673095</v>
      </c>
      <c r="M10" s="4"/>
    </row>
    <row r="11" spans="1:15" x14ac:dyDescent="0.3">
      <c r="A11" t="s">
        <v>41</v>
      </c>
      <c r="B11" t="s">
        <v>42</v>
      </c>
      <c r="C11" t="s">
        <v>25</v>
      </c>
      <c r="D11" t="s">
        <v>43</v>
      </c>
      <c r="E11" t="s">
        <v>27</v>
      </c>
      <c r="F11" t="s">
        <v>15</v>
      </c>
      <c r="G11" s="3">
        <v>10838.05</v>
      </c>
      <c r="H11" s="3">
        <v>8335.31</v>
      </c>
      <c r="I11" s="3">
        <v>108.55</v>
      </c>
      <c r="J11">
        <v>5</v>
      </c>
      <c r="K11" s="4">
        <f t="shared" si="0"/>
        <v>2502.7399999999998</v>
      </c>
      <c r="L11" s="5">
        <f t="shared" si="1"/>
        <v>0.23092161412800272</v>
      </c>
      <c r="M11" s="4"/>
    </row>
    <row r="12" spans="1:15" x14ac:dyDescent="0.3">
      <c r="A12" t="s">
        <v>44</v>
      </c>
      <c r="B12" t="s">
        <v>45</v>
      </c>
      <c r="C12" t="s">
        <v>18</v>
      </c>
      <c r="D12" t="s">
        <v>46</v>
      </c>
      <c r="E12" t="s">
        <v>38</v>
      </c>
      <c r="F12" t="s">
        <v>20</v>
      </c>
      <c r="G12" s="3">
        <v>3606.22</v>
      </c>
      <c r="H12" s="3">
        <v>2763.52</v>
      </c>
      <c r="I12" s="3">
        <v>253.64</v>
      </c>
      <c r="J12">
        <v>1</v>
      </c>
      <c r="K12" s="4">
        <f t="shared" si="0"/>
        <v>842.69999999999982</v>
      </c>
      <c r="L12" s="5">
        <f t="shared" si="1"/>
        <v>0.23367958693590515</v>
      </c>
      <c r="M12" s="4"/>
    </row>
    <row r="13" spans="1:15" x14ac:dyDescent="0.3">
      <c r="A13" t="s">
        <v>47</v>
      </c>
      <c r="B13" t="s">
        <v>48</v>
      </c>
      <c r="C13" t="s">
        <v>25</v>
      </c>
      <c r="D13" t="s">
        <v>26</v>
      </c>
      <c r="E13" t="s">
        <v>23</v>
      </c>
      <c r="F13" t="s">
        <v>15</v>
      </c>
      <c r="G13" s="3">
        <v>4257.4399999999996</v>
      </c>
      <c r="H13" s="3">
        <v>2733.42</v>
      </c>
      <c r="I13" s="3">
        <v>165.63</v>
      </c>
      <c r="J13">
        <v>2</v>
      </c>
      <c r="K13" s="4">
        <f t="shared" si="0"/>
        <v>1524.0199999999995</v>
      </c>
      <c r="L13" s="5">
        <f t="shared" si="1"/>
        <v>0.35796628960126264</v>
      </c>
      <c r="M13" s="4"/>
    </row>
    <row r="14" spans="1:15" x14ac:dyDescent="0.3">
      <c r="A14" t="s">
        <v>49</v>
      </c>
      <c r="B14" t="s">
        <v>50</v>
      </c>
      <c r="C14" t="s">
        <v>18</v>
      </c>
      <c r="D14" t="s">
        <v>46</v>
      </c>
      <c r="E14" t="s">
        <v>27</v>
      </c>
      <c r="F14" t="s">
        <v>20</v>
      </c>
      <c r="G14" s="3">
        <v>1382.52</v>
      </c>
      <c r="H14" s="3">
        <v>781.7</v>
      </c>
      <c r="I14" s="3">
        <v>354.35</v>
      </c>
      <c r="J14">
        <v>1</v>
      </c>
      <c r="K14" s="4">
        <f t="shared" si="0"/>
        <v>600.81999999999994</v>
      </c>
      <c r="L14" s="5">
        <f t="shared" si="1"/>
        <v>0.43458322483580702</v>
      </c>
      <c r="M14" s="4"/>
    </row>
    <row r="15" spans="1:15" x14ac:dyDescent="0.3">
      <c r="A15" t="s">
        <v>51</v>
      </c>
      <c r="B15" t="s">
        <v>52</v>
      </c>
      <c r="C15" t="s">
        <v>12</v>
      </c>
      <c r="D15" t="s">
        <v>13</v>
      </c>
      <c r="E15" t="s">
        <v>38</v>
      </c>
      <c r="F15" t="s">
        <v>15</v>
      </c>
      <c r="G15" s="3">
        <v>2059.23</v>
      </c>
      <c r="H15" s="3">
        <v>1239.07</v>
      </c>
      <c r="I15" s="3">
        <v>207.53</v>
      </c>
      <c r="J15">
        <v>1</v>
      </c>
      <c r="K15" s="4">
        <f t="shared" si="0"/>
        <v>820.16000000000008</v>
      </c>
      <c r="L15" s="5">
        <f t="shared" si="1"/>
        <v>0.39828479577317738</v>
      </c>
      <c r="M15" s="4"/>
    </row>
    <row r="16" spans="1:15" x14ac:dyDescent="0.3">
      <c r="A16" t="s">
        <v>53</v>
      </c>
      <c r="B16" t="s">
        <v>54</v>
      </c>
      <c r="C16" t="s">
        <v>18</v>
      </c>
      <c r="D16" t="s">
        <v>55</v>
      </c>
      <c r="E16" t="s">
        <v>38</v>
      </c>
      <c r="F16" t="s">
        <v>20</v>
      </c>
      <c r="G16" s="3">
        <v>19759.96</v>
      </c>
      <c r="H16" s="3">
        <v>16056.05</v>
      </c>
      <c r="I16" s="3">
        <v>319.5</v>
      </c>
      <c r="J16">
        <v>4</v>
      </c>
      <c r="K16" s="4">
        <f t="shared" si="0"/>
        <v>3703.91</v>
      </c>
      <c r="L16" s="5">
        <f t="shared" si="1"/>
        <v>0.1874452175004403</v>
      </c>
      <c r="M16" s="4"/>
    </row>
    <row r="17" spans="1:13" x14ac:dyDescent="0.3">
      <c r="A17" t="s">
        <v>56</v>
      </c>
      <c r="B17" t="s">
        <v>57</v>
      </c>
      <c r="C17" t="s">
        <v>12</v>
      </c>
      <c r="D17" t="s">
        <v>13</v>
      </c>
      <c r="E17" t="s">
        <v>23</v>
      </c>
      <c r="F17" t="s">
        <v>20</v>
      </c>
      <c r="G17" s="3">
        <v>3333</v>
      </c>
      <c r="H17" s="3">
        <v>2489.5300000000002</v>
      </c>
      <c r="I17" s="3">
        <v>85.74</v>
      </c>
      <c r="J17">
        <v>2</v>
      </c>
      <c r="K17" s="4">
        <f t="shared" si="0"/>
        <v>843.4699999999998</v>
      </c>
      <c r="L17" s="5">
        <f t="shared" si="1"/>
        <v>0.25306630663066298</v>
      </c>
      <c r="M17" s="4"/>
    </row>
    <row r="18" spans="1:13" x14ac:dyDescent="0.3">
      <c r="A18" t="s">
        <v>58</v>
      </c>
      <c r="B18" t="s">
        <v>59</v>
      </c>
      <c r="C18" t="s">
        <v>18</v>
      </c>
      <c r="D18" t="s">
        <v>60</v>
      </c>
      <c r="E18" t="s">
        <v>14</v>
      </c>
      <c r="F18" t="s">
        <v>15</v>
      </c>
      <c r="G18" s="3">
        <v>3206.44</v>
      </c>
      <c r="H18" s="3">
        <v>2348.7399999999998</v>
      </c>
      <c r="I18" s="3">
        <v>192.49</v>
      </c>
      <c r="J18">
        <v>1</v>
      </c>
      <c r="K18" s="4">
        <f t="shared" si="0"/>
        <v>857.70000000000027</v>
      </c>
      <c r="L18" s="5">
        <f t="shared" si="1"/>
        <v>0.26749292049749884</v>
      </c>
      <c r="M18" s="4"/>
    </row>
    <row r="19" spans="1:13" x14ac:dyDescent="0.3">
      <c r="A19" t="s">
        <v>61</v>
      </c>
      <c r="B19" t="s">
        <v>62</v>
      </c>
      <c r="C19" t="s">
        <v>12</v>
      </c>
      <c r="D19" t="s">
        <v>35</v>
      </c>
      <c r="E19" t="s">
        <v>27</v>
      </c>
      <c r="F19" t="s">
        <v>20</v>
      </c>
      <c r="G19" s="3">
        <v>7149.96</v>
      </c>
      <c r="H19" s="3">
        <v>5428.6</v>
      </c>
      <c r="I19" s="3">
        <v>410.35</v>
      </c>
      <c r="J19">
        <v>3</v>
      </c>
      <c r="K19" s="4">
        <f t="shared" si="0"/>
        <v>1721.3599999999997</v>
      </c>
      <c r="L19" s="5">
        <f t="shared" si="1"/>
        <v>0.24075099720837595</v>
      </c>
      <c r="M19" s="4"/>
    </row>
    <row r="20" spans="1:13" x14ac:dyDescent="0.3">
      <c r="A20" t="s">
        <v>63</v>
      </c>
      <c r="B20" t="s">
        <v>64</v>
      </c>
      <c r="C20" t="s">
        <v>18</v>
      </c>
      <c r="D20" t="s">
        <v>19</v>
      </c>
      <c r="E20" t="s">
        <v>14</v>
      </c>
      <c r="F20" t="s">
        <v>20</v>
      </c>
      <c r="G20" s="3">
        <v>14994.06</v>
      </c>
      <c r="H20" s="3">
        <v>11566.92</v>
      </c>
      <c r="I20" s="3">
        <v>282.70999999999998</v>
      </c>
      <c r="J20">
        <v>3</v>
      </c>
      <c r="K20" s="4">
        <f t="shared" si="0"/>
        <v>3427.1399999999994</v>
      </c>
      <c r="L20" s="5">
        <f t="shared" si="1"/>
        <v>0.22856651233888617</v>
      </c>
      <c r="M20" s="4"/>
    </row>
    <row r="21" spans="1:13" x14ac:dyDescent="0.3">
      <c r="A21" t="s">
        <v>65</v>
      </c>
      <c r="B21" t="s">
        <v>62</v>
      </c>
      <c r="C21" t="s">
        <v>12</v>
      </c>
      <c r="D21" t="s">
        <v>13</v>
      </c>
      <c r="E21" t="s">
        <v>14</v>
      </c>
      <c r="F21" t="s">
        <v>20</v>
      </c>
      <c r="G21" s="3">
        <v>350.07</v>
      </c>
      <c r="H21" s="3">
        <v>271.08</v>
      </c>
      <c r="I21" s="3">
        <v>439.23</v>
      </c>
      <c r="J21">
        <v>1</v>
      </c>
      <c r="K21" s="4">
        <f t="shared" si="0"/>
        <v>78.990000000000009</v>
      </c>
      <c r="L21" s="5">
        <f t="shared" si="1"/>
        <v>0.22564058616848062</v>
      </c>
      <c r="M21" s="4"/>
    </row>
    <row r="22" spans="1:13" x14ac:dyDescent="0.3">
      <c r="A22" t="s">
        <v>66</v>
      </c>
      <c r="B22" t="s">
        <v>67</v>
      </c>
      <c r="C22" t="s">
        <v>12</v>
      </c>
      <c r="D22" t="s">
        <v>35</v>
      </c>
      <c r="E22" t="s">
        <v>14</v>
      </c>
      <c r="F22" t="s">
        <v>20</v>
      </c>
      <c r="G22" s="3">
        <v>14455.8</v>
      </c>
      <c r="H22" s="3">
        <v>8775.1200000000008</v>
      </c>
      <c r="I22" s="3">
        <v>265.01</v>
      </c>
      <c r="J22">
        <v>5</v>
      </c>
      <c r="K22" s="4">
        <f t="shared" si="0"/>
        <v>5680.6799999999985</v>
      </c>
      <c r="L22" s="5">
        <f t="shared" si="1"/>
        <v>0.39296891213215446</v>
      </c>
      <c r="M22" s="4"/>
    </row>
    <row r="23" spans="1:13" x14ac:dyDescent="0.3">
      <c r="A23" t="s">
        <v>68</v>
      </c>
      <c r="B23" t="s">
        <v>69</v>
      </c>
      <c r="C23" t="s">
        <v>25</v>
      </c>
      <c r="D23" t="s">
        <v>30</v>
      </c>
      <c r="E23" t="s">
        <v>38</v>
      </c>
      <c r="F23" t="s">
        <v>20</v>
      </c>
      <c r="G23" s="3">
        <v>6630.84</v>
      </c>
      <c r="H23" s="3">
        <v>3541.19</v>
      </c>
      <c r="I23" s="3">
        <v>86.39</v>
      </c>
      <c r="J23">
        <v>3</v>
      </c>
      <c r="K23" s="4">
        <f t="shared" si="0"/>
        <v>3089.65</v>
      </c>
      <c r="L23" s="5">
        <f t="shared" si="1"/>
        <v>0.4659515234872203</v>
      </c>
      <c r="M23" s="4"/>
    </row>
    <row r="24" spans="1:13" x14ac:dyDescent="0.3">
      <c r="A24" t="s">
        <v>70</v>
      </c>
      <c r="B24" t="s">
        <v>59</v>
      </c>
      <c r="C24" t="s">
        <v>25</v>
      </c>
      <c r="D24" t="s">
        <v>26</v>
      </c>
      <c r="E24" t="s">
        <v>14</v>
      </c>
      <c r="F24" t="s">
        <v>15</v>
      </c>
      <c r="G24" s="3">
        <v>7667.52</v>
      </c>
      <c r="H24" s="3">
        <v>5432.1</v>
      </c>
      <c r="I24" s="3">
        <v>437.78</v>
      </c>
      <c r="J24">
        <v>3</v>
      </c>
      <c r="K24" s="4">
        <f t="shared" si="0"/>
        <v>2235.42</v>
      </c>
      <c r="L24" s="5">
        <f t="shared" si="1"/>
        <v>0.29154407161637663</v>
      </c>
      <c r="M24" s="4"/>
    </row>
    <row r="25" spans="1:13" x14ac:dyDescent="0.3">
      <c r="A25" t="s">
        <v>71</v>
      </c>
      <c r="B25" t="s">
        <v>72</v>
      </c>
      <c r="C25" t="s">
        <v>25</v>
      </c>
      <c r="D25" t="s">
        <v>43</v>
      </c>
      <c r="E25" t="s">
        <v>38</v>
      </c>
      <c r="F25" t="s">
        <v>15</v>
      </c>
      <c r="G25" s="3">
        <v>930.77</v>
      </c>
      <c r="H25" s="3">
        <v>521.07000000000005</v>
      </c>
      <c r="I25" s="3">
        <v>496.07</v>
      </c>
      <c r="J25">
        <v>1</v>
      </c>
      <c r="K25" s="4">
        <f t="shared" si="0"/>
        <v>409.69999999999993</v>
      </c>
      <c r="L25" s="5">
        <f t="shared" si="1"/>
        <v>0.44017318993951238</v>
      </c>
      <c r="M25" s="4"/>
    </row>
    <row r="26" spans="1:13" x14ac:dyDescent="0.3">
      <c r="A26" t="s">
        <v>73</v>
      </c>
      <c r="B26" t="s">
        <v>74</v>
      </c>
      <c r="C26" t="s">
        <v>18</v>
      </c>
      <c r="D26" t="s">
        <v>46</v>
      </c>
      <c r="E26" t="s">
        <v>38</v>
      </c>
      <c r="F26" t="s">
        <v>20</v>
      </c>
      <c r="G26" s="3">
        <v>9112.66</v>
      </c>
      <c r="H26" s="3">
        <v>7373.96</v>
      </c>
      <c r="I26" s="3">
        <v>107.47</v>
      </c>
      <c r="J26">
        <v>2</v>
      </c>
      <c r="K26" s="4">
        <f t="shared" si="0"/>
        <v>1738.6999999999998</v>
      </c>
      <c r="L26" s="5">
        <f t="shared" si="1"/>
        <v>0.19080049074584149</v>
      </c>
      <c r="M26" s="4"/>
    </row>
    <row r="27" spans="1:13" x14ac:dyDescent="0.3">
      <c r="A27" t="s">
        <v>75</v>
      </c>
      <c r="B27" t="s">
        <v>76</v>
      </c>
      <c r="C27" t="s">
        <v>12</v>
      </c>
      <c r="D27" t="s">
        <v>22</v>
      </c>
      <c r="E27" t="s">
        <v>27</v>
      </c>
      <c r="F27" t="s">
        <v>15</v>
      </c>
      <c r="G27" s="3">
        <v>2263.38</v>
      </c>
      <c r="H27" s="3">
        <v>1813.53</v>
      </c>
      <c r="I27" s="3">
        <v>473.41</v>
      </c>
      <c r="J27">
        <v>1</v>
      </c>
      <c r="K27" s="4">
        <f t="shared" si="0"/>
        <v>449.85000000000014</v>
      </c>
      <c r="L27" s="5">
        <f t="shared" si="1"/>
        <v>0.19875142486016495</v>
      </c>
      <c r="M27" s="4"/>
    </row>
    <row r="28" spans="1:13" x14ac:dyDescent="0.3">
      <c r="A28" t="s">
        <v>77</v>
      </c>
      <c r="B28" t="s">
        <v>74</v>
      </c>
      <c r="C28" t="s">
        <v>12</v>
      </c>
      <c r="D28" t="s">
        <v>22</v>
      </c>
      <c r="E28" t="s">
        <v>23</v>
      </c>
      <c r="F28" t="s">
        <v>20</v>
      </c>
      <c r="G28" s="3">
        <v>17682.439999999999</v>
      </c>
      <c r="H28" s="3">
        <v>11834.07</v>
      </c>
      <c r="I28" s="3">
        <v>246.56</v>
      </c>
      <c r="J28">
        <v>4</v>
      </c>
      <c r="K28" s="4">
        <f t="shared" si="0"/>
        <v>5848.369999999999</v>
      </c>
      <c r="L28" s="5">
        <f t="shared" si="1"/>
        <v>0.33074451263513405</v>
      </c>
      <c r="M28" s="4"/>
    </row>
    <row r="29" spans="1:13" x14ac:dyDescent="0.3">
      <c r="A29" t="s">
        <v>78</v>
      </c>
      <c r="B29" t="s">
        <v>79</v>
      </c>
      <c r="C29" t="s">
        <v>12</v>
      </c>
      <c r="D29" t="s">
        <v>22</v>
      </c>
      <c r="E29" t="s">
        <v>27</v>
      </c>
      <c r="F29" t="s">
        <v>15</v>
      </c>
      <c r="G29" s="3">
        <v>7211.72</v>
      </c>
      <c r="H29" s="3">
        <v>6036.07</v>
      </c>
      <c r="I29" s="3">
        <v>204.37</v>
      </c>
      <c r="J29">
        <v>4</v>
      </c>
      <c r="K29" s="4">
        <f t="shared" si="0"/>
        <v>1175.6500000000005</v>
      </c>
      <c r="L29" s="5">
        <f t="shared" si="1"/>
        <v>0.16301936292590402</v>
      </c>
      <c r="M29" s="4"/>
    </row>
    <row r="30" spans="1:13" x14ac:dyDescent="0.3">
      <c r="A30" t="s">
        <v>80</v>
      </c>
      <c r="B30" t="s">
        <v>81</v>
      </c>
      <c r="C30" t="s">
        <v>25</v>
      </c>
      <c r="D30" t="s">
        <v>30</v>
      </c>
      <c r="E30" t="s">
        <v>38</v>
      </c>
      <c r="F30" t="s">
        <v>15</v>
      </c>
      <c r="G30" s="3">
        <v>5472.08</v>
      </c>
      <c r="H30" s="3">
        <v>2829.17</v>
      </c>
      <c r="I30" s="3">
        <v>384.68</v>
      </c>
      <c r="J30">
        <v>2</v>
      </c>
      <c r="K30" s="4">
        <f t="shared" si="0"/>
        <v>2642.91</v>
      </c>
      <c r="L30" s="5">
        <f t="shared" si="1"/>
        <v>0.48298087747255153</v>
      </c>
      <c r="M30" s="4"/>
    </row>
    <row r="31" spans="1:13" x14ac:dyDescent="0.3">
      <c r="A31" t="s">
        <v>82</v>
      </c>
      <c r="B31" t="s">
        <v>76</v>
      </c>
      <c r="C31" t="s">
        <v>12</v>
      </c>
      <c r="D31" t="s">
        <v>13</v>
      </c>
      <c r="E31" t="s">
        <v>27</v>
      </c>
      <c r="F31" t="s">
        <v>15</v>
      </c>
      <c r="G31" s="3">
        <v>1379.48</v>
      </c>
      <c r="H31" s="3">
        <v>772.86</v>
      </c>
      <c r="I31" s="3">
        <v>295.83999999999997</v>
      </c>
      <c r="J31">
        <v>2</v>
      </c>
      <c r="K31" s="4">
        <f t="shared" si="0"/>
        <v>606.62</v>
      </c>
      <c r="L31" s="5">
        <f t="shared" si="1"/>
        <v>0.43974541131440831</v>
      </c>
      <c r="M31" s="4"/>
    </row>
    <row r="32" spans="1:13" x14ac:dyDescent="0.3">
      <c r="A32" t="s">
        <v>83</v>
      </c>
      <c r="B32" t="s">
        <v>84</v>
      </c>
      <c r="C32" t="s">
        <v>12</v>
      </c>
      <c r="D32" t="s">
        <v>22</v>
      </c>
      <c r="E32" t="s">
        <v>27</v>
      </c>
      <c r="F32" t="s">
        <v>20</v>
      </c>
      <c r="G32" s="3">
        <v>4779.8500000000004</v>
      </c>
      <c r="H32" s="3">
        <v>3956.75</v>
      </c>
      <c r="I32" s="3">
        <v>359.09</v>
      </c>
      <c r="J32">
        <v>5</v>
      </c>
      <c r="K32" s="4">
        <f t="shared" si="0"/>
        <v>823.10000000000036</v>
      </c>
      <c r="L32" s="5">
        <f t="shared" si="1"/>
        <v>0.17220205654989179</v>
      </c>
      <c r="M32" s="4"/>
    </row>
    <row r="33" spans="1:13" x14ac:dyDescent="0.3">
      <c r="A33" t="s">
        <v>85</v>
      </c>
      <c r="B33" t="s">
        <v>79</v>
      </c>
      <c r="C33" t="s">
        <v>18</v>
      </c>
      <c r="D33" t="s">
        <v>46</v>
      </c>
      <c r="E33" t="s">
        <v>27</v>
      </c>
      <c r="F33" t="s">
        <v>20</v>
      </c>
      <c r="G33" s="3">
        <v>482.73</v>
      </c>
      <c r="H33" s="3">
        <v>354.13</v>
      </c>
      <c r="I33" s="3">
        <v>354.48</v>
      </c>
      <c r="J33">
        <v>1</v>
      </c>
      <c r="K33" s="4">
        <f t="shared" si="0"/>
        <v>128.60000000000002</v>
      </c>
      <c r="L33" s="5">
        <f t="shared" si="1"/>
        <v>0.26640150808940821</v>
      </c>
      <c r="M33" s="4"/>
    </row>
    <row r="34" spans="1:13" x14ac:dyDescent="0.3">
      <c r="A34" t="s">
        <v>86</v>
      </c>
      <c r="B34" t="s">
        <v>87</v>
      </c>
      <c r="C34" t="s">
        <v>12</v>
      </c>
      <c r="D34" t="s">
        <v>35</v>
      </c>
      <c r="E34" t="s">
        <v>38</v>
      </c>
      <c r="F34" t="s">
        <v>15</v>
      </c>
      <c r="G34" s="3">
        <v>8270.7199999999993</v>
      </c>
      <c r="H34" s="3">
        <v>4471.88</v>
      </c>
      <c r="I34" s="3">
        <v>228.09</v>
      </c>
      <c r="J34">
        <v>2</v>
      </c>
      <c r="K34" s="4">
        <f t="shared" si="0"/>
        <v>3798.8399999999992</v>
      </c>
      <c r="L34" s="5">
        <f t="shared" si="1"/>
        <v>0.4593118857850344</v>
      </c>
      <c r="M34" s="4"/>
    </row>
    <row r="35" spans="1:13" x14ac:dyDescent="0.3">
      <c r="A35" t="s">
        <v>88</v>
      </c>
      <c r="B35" t="s">
        <v>89</v>
      </c>
      <c r="C35" t="s">
        <v>18</v>
      </c>
      <c r="D35" t="s">
        <v>55</v>
      </c>
      <c r="E35" t="s">
        <v>27</v>
      </c>
      <c r="F35" t="s">
        <v>20</v>
      </c>
      <c r="G35" s="3">
        <v>4918.82</v>
      </c>
      <c r="H35" s="3">
        <v>2799.23</v>
      </c>
      <c r="I35" s="3">
        <v>53.47</v>
      </c>
      <c r="J35">
        <v>2</v>
      </c>
      <c r="K35" s="4">
        <f t="shared" si="0"/>
        <v>2119.5899999999997</v>
      </c>
      <c r="L35" s="5">
        <f t="shared" si="1"/>
        <v>0.43091432498038146</v>
      </c>
      <c r="M35" s="4"/>
    </row>
    <row r="36" spans="1:13" x14ac:dyDescent="0.3">
      <c r="A36" t="s">
        <v>90</v>
      </c>
      <c r="B36" t="s">
        <v>91</v>
      </c>
      <c r="C36" t="s">
        <v>25</v>
      </c>
      <c r="D36" t="s">
        <v>26</v>
      </c>
      <c r="E36" t="s">
        <v>38</v>
      </c>
      <c r="F36" t="s">
        <v>15</v>
      </c>
      <c r="G36" s="3">
        <v>2585.35</v>
      </c>
      <c r="H36" s="3">
        <v>2015.01</v>
      </c>
      <c r="I36" s="3">
        <v>285.64999999999998</v>
      </c>
      <c r="J36">
        <v>5</v>
      </c>
      <c r="K36" s="4">
        <f t="shared" si="0"/>
        <v>570.33999999999992</v>
      </c>
      <c r="L36" s="5">
        <f t="shared" si="1"/>
        <v>0.22060456031098302</v>
      </c>
      <c r="M36" s="4"/>
    </row>
    <row r="37" spans="1:13" x14ac:dyDescent="0.3">
      <c r="A37" t="s">
        <v>92</v>
      </c>
      <c r="B37" t="s">
        <v>93</v>
      </c>
      <c r="C37" t="s">
        <v>18</v>
      </c>
      <c r="D37" t="s">
        <v>60</v>
      </c>
      <c r="E37" t="s">
        <v>27</v>
      </c>
      <c r="F37" t="s">
        <v>20</v>
      </c>
      <c r="G37" s="3">
        <v>2154.6</v>
      </c>
      <c r="H37" s="3">
        <v>1508.13</v>
      </c>
      <c r="I37" s="3">
        <v>117.13</v>
      </c>
      <c r="J37">
        <v>2</v>
      </c>
      <c r="K37" s="4">
        <f t="shared" si="0"/>
        <v>646.4699999999998</v>
      </c>
      <c r="L37" s="5">
        <f t="shared" si="1"/>
        <v>0.30004177109440261</v>
      </c>
      <c r="M37" s="4"/>
    </row>
    <row r="38" spans="1:13" x14ac:dyDescent="0.3">
      <c r="A38" t="s">
        <v>94</v>
      </c>
      <c r="B38" t="s">
        <v>95</v>
      </c>
      <c r="C38" t="s">
        <v>25</v>
      </c>
      <c r="D38" t="s">
        <v>30</v>
      </c>
      <c r="E38" t="s">
        <v>23</v>
      </c>
      <c r="F38" t="s">
        <v>20</v>
      </c>
      <c r="G38" s="3">
        <v>14577.5</v>
      </c>
      <c r="H38" s="3">
        <v>8870.56</v>
      </c>
      <c r="I38" s="3">
        <v>124.9</v>
      </c>
      <c r="J38">
        <v>5</v>
      </c>
      <c r="K38" s="4">
        <f t="shared" si="0"/>
        <v>5706.9400000000005</v>
      </c>
      <c r="L38" s="5">
        <f t="shared" si="1"/>
        <v>0.39148962442119706</v>
      </c>
      <c r="M38" s="4"/>
    </row>
    <row r="39" spans="1:13" x14ac:dyDescent="0.3">
      <c r="A39" t="s">
        <v>96</v>
      </c>
      <c r="B39" t="s">
        <v>97</v>
      </c>
      <c r="C39" t="s">
        <v>25</v>
      </c>
      <c r="D39" t="s">
        <v>26</v>
      </c>
      <c r="E39" t="s">
        <v>38</v>
      </c>
      <c r="F39" t="s">
        <v>15</v>
      </c>
      <c r="G39" s="3">
        <v>4353.24</v>
      </c>
      <c r="H39" s="3">
        <v>2695.67</v>
      </c>
      <c r="I39" s="3">
        <v>475.34</v>
      </c>
      <c r="J39">
        <v>2</v>
      </c>
      <c r="K39" s="4">
        <f t="shared" si="0"/>
        <v>1657.5699999999997</v>
      </c>
      <c r="L39" s="5">
        <f t="shared" si="1"/>
        <v>0.38076696897023821</v>
      </c>
      <c r="M39" s="4"/>
    </row>
    <row r="40" spans="1:13" x14ac:dyDescent="0.3">
      <c r="A40" t="s">
        <v>98</v>
      </c>
      <c r="B40" t="s">
        <v>99</v>
      </c>
      <c r="C40" t="s">
        <v>25</v>
      </c>
      <c r="D40" t="s">
        <v>26</v>
      </c>
      <c r="E40" t="s">
        <v>23</v>
      </c>
      <c r="F40" t="s">
        <v>20</v>
      </c>
      <c r="G40" s="3">
        <v>6189.51</v>
      </c>
      <c r="H40" s="3">
        <v>4891.97</v>
      </c>
      <c r="I40" s="3">
        <v>182.76</v>
      </c>
      <c r="J40">
        <v>3</v>
      </c>
      <c r="K40" s="4">
        <f t="shared" si="0"/>
        <v>1297.54</v>
      </c>
      <c r="L40" s="5">
        <f t="shared" si="1"/>
        <v>0.20963533462261147</v>
      </c>
      <c r="M40" s="4"/>
    </row>
    <row r="41" spans="1:13" x14ac:dyDescent="0.3">
      <c r="A41" t="s">
        <v>100</v>
      </c>
      <c r="B41" t="s">
        <v>101</v>
      </c>
      <c r="C41" t="s">
        <v>12</v>
      </c>
      <c r="D41" t="s">
        <v>13</v>
      </c>
      <c r="E41" t="s">
        <v>27</v>
      </c>
      <c r="F41" t="s">
        <v>20</v>
      </c>
      <c r="G41" s="3">
        <v>13877.5</v>
      </c>
      <c r="H41" s="3">
        <v>10447.86</v>
      </c>
      <c r="I41" s="3">
        <v>484.91</v>
      </c>
      <c r="J41">
        <v>5</v>
      </c>
      <c r="K41" s="4">
        <f t="shared" si="0"/>
        <v>3429.6399999999994</v>
      </c>
      <c r="L41" s="5">
        <f t="shared" si="1"/>
        <v>0.24713673212033863</v>
      </c>
      <c r="M41" s="4"/>
    </row>
    <row r="42" spans="1:13" x14ac:dyDescent="0.3">
      <c r="A42" t="s">
        <v>102</v>
      </c>
      <c r="B42" t="s">
        <v>59</v>
      </c>
      <c r="C42" t="s">
        <v>12</v>
      </c>
      <c r="D42" t="s">
        <v>22</v>
      </c>
      <c r="E42" t="s">
        <v>23</v>
      </c>
      <c r="F42" t="s">
        <v>15</v>
      </c>
      <c r="G42" s="3">
        <v>7716.84</v>
      </c>
      <c r="H42" s="3">
        <v>5037.54</v>
      </c>
      <c r="I42" s="3">
        <v>322.27</v>
      </c>
      <c r="J42">
        <v>4</v>
      </c>
      <c r="K42" s="4">
        <f t="shared" si="0"/>
        <v>2679.3</v>
      </c>
      <c r="L42" s="5">
        <f t="shared" si="1"/>
        <v>0.34720170432456809</v>
      </c>
      <c r="M42" s="4"/>
    </row>
    <row r="43" spans="1:13" x14ac:dyDescent="0.3">
      <c r="A43" t="s">
        <v>103</v>
      </c>
      <c r="B43" t="s">
        <v>104</v>
      </c>
      <c r="C43" t="s">
        <v>25</v>
      </c>
      <c r="D43" t="s">
        <v>26</v>
      </c>
      <c r="E43" t="s">
        <v>38</v>
      </c>
      <c r="F43" t="s">
        <v>15</v>
      </c>
      <c r="G43" s="3">
        <v>954.75</v>
      </c>
      <c r="H43" s="3">
        <v>544.98</v>
      </c>
      <c r="I43" s="3">
        <v>460.33</v>
      </c>
      <c r="J43">
        <v>1</v>
      </c>
      <c r="K43" s="4">
        <f t="shared" si="0"/>
        <v>409.77</v>
      </c>
      <c r="L43" s="5">
        <f t="shared" si="1"/>
        <v>0.42919088766692848</v>
      </c>
      <c r="M43" s="4"/>
    </row>
    <row r="44" spans="1:13" x14ac:dyDescent="0.3">
      <c r="A44" t="s">
        <v>105</v>
      </c>
      <c r="B44" t="s">
        <v>106</v>
      </c>
      <c r="C44" t="s">
        <v>18</v>
      </c>
      <c r="D44" t="s">
        <v>19</v>
      </c>
      <c r="E44" t="s">
        <v>38</v>
      </c>
      <c r="F44" t="s">
        <v>15</v>
      </c>
      <c r="G44" s="3">
        <v>728.06</v>
      </c>
      <c r="H44" s="3">
        <v>372.78</v>
      </c>
      <c r="I44" s="3">
        <v>195.06</v>
      </c>
      <c r="J44">
        <v>2</v>
      </c>
      <c r="K44" s="4">
        <f t="shared" si="0"/>
        <v>355.28</v>
      </c>
      <c r="L44" s="5">
        <f t="shared" si="1"/>
        <v>0.48798175974507596</v>
      </c>
      <c r="M44" s="4"/>
    </row>
    <row r="45" spans="1:13" x14ac:dyDescent="0.3">
      <c r="A45" t="s">
        <v>107</v>
      </c>
      <c r="B45" t="s">
        <v>108</v>
      </c>
      <c r="C45" t="s">
        <v>12</v>
      </c>
      <c r="D45" t="s">
        <v>13</v>
      </c>
      <c r="E45" t="s">
        <v>27</v>
      </c>
      <c r="F45" t="s">
        <v>20</v>
      </c>
      <c r="G45" s="3">
        <v>4984.46</v>
      </c>
      <c r="H45" s="3">
        <v>3596.71</v>
      </c>
      <c r="I45" s="3">
        <v>471.35</v>
      </c>
      <c r="J45">
        <v>1</v>
      </c>
      <c r="K45" s="4">
        <f t="shared" si="0"/>
        <v>1387.75</v>
      </c>
      <c r="L45" s="5">
        <f t="shared" si="1"/>
        <v>0.27841531479839343</v>
      </c>
      <c r="M45" s="4"/>
    </row>
    <row r="46" spans="1:13" x14ac:dyDescent="0.3">
      <c r="A46" t="s">
        <v>109</v>
      </c>
      <c r="B46" t="s">
        <v>110</v>
      </c>
      <c r="C46" t="s">
        <v>25</v>
      </c>
      <c r="D46" t="s">
        <v>30</v>
      </c>
      <c r="E46" t="s">
        <v>14</v>
      </c>
      <c r="F46" t="s">
        <v>15</v>
      </c>
      <c r="G46" s="3">
        <v>12345.48</v>
      </c>
      <c r="H46" s="3">
        <v>7069.79</v>
      </c>
      <c r="I46" s="3">
        <v>374.01</v>
      </c>
      <c r="J46">
        <v>3</v>
      </c>
      <c r="K46" s="4">
        <f t="shared" si="0"/>
        <v>5275.69</v>
      </c>
      <c r="L46" s="5">
        <f t="shared" si="1"/>
        <v>0.4273377786849924</v>
      </c>
      <c r="M46" s="4"/>
    </row>
    <row r="47" spans="1:13" x14ac:dyDescent="0.3">
      <c r="A47" t="s">
        <v>111</v>
      </c>
      <c r="B47" t="s">
        <v>112</v>
      </c>
      <c r="C47" t="s">
        <v>18</v>
      </c>
      <c r="D47" t="s">
        <v>46</v>
      </c>
      <c r="E47" t="s">
        <v>27</v>
      </c>
      <c r="F47" t="s">
        <v>15</v>
      </c>
      <c r="G47" s="3">
        <v>2842.35</v>
      </c>
      <c r="H47" s="3">
        <v>2056.2800000000002</v>
      </c>
      <c r="I47" s="3">
        <v>486.13</v>
      </c>
      <c r="J47">
        <v>1</v>
      </c>
      <c r="K47" s="4">
        <f t="shared" si="0"/>
        <v>786.06999999999971</v>
      </c>
      <c r="L47" s="5">
        <f t="shared" si="1"/>
        <v>0.2765563706088271</v>
      </c>
      <c r="M47" s="4"/>
    </row>
    <row r="48" spans="1:13" x14ac:dyDescent="0.3">
      <c r="A48" t="s">
        <v>113</v>
      </c>
      <c r="B48" t="s">
        <v>114</v>
      </c>
      <c r="C48" t="s">
        <v>25</v>
      </c>
      <c r="D48" t="s">
        <v>26</v>
      </c>
      <c r="E48" t="s">
        <v>23</v>
      </c>
      <c r="F48" t="s">
        <v>15</v>
      </c>
      <c r="G48" s="3">
        <v>10839.12</v>
      </c>
      <c r="H48" s="3">
        <v>6129.54</v>
      </c>
      <c r="I48" s="3">
        <v>406.92</v>
      </c>
      <c r="J48">
        <v>3</v>
      </c>
      <c r="K48" s="4">
        <f t="shared" si="0"/>
        <v>4709.5800000000008</v>
      </c>
      <c r="L48" s="5">
        <f t="shared" si="1"/>
        <v>0.43449837256161022</v>
      </c>
      <c r="M48" s="4"/>
    </row>
    <row r="49" spans="1:13" x14ac:dyDescent="0.3">
      <c r="A49" t="s">
        <v>115</v>
      </c>
      <c r="B49" t="s">
        <v>116</v>
      </c>
      <c r="C49" t="s">
        <v>25</v>
      </c>
      <c r="D49" t="s">
        <v>26</v>
      </c>
      <c r="E49" t="s">
        <v>23</v>
      </c>
      <c r="F49" t="s">
        <v>15</v>
      </c>
      <c r="G49" s="3">
        <v>11671.26</v>
      </c>
      <c r="H49" s="3">
        <v>7098.38</v>
      </c>
      <c r="I49" s="3">
        <v>342.21</v>
      </c>
      <c r="J49">
        <v>3</v>
      </c>
      <c r="K49" s="4">
        <f t="shared" si="0"/>
        <v>4572.88</v>
      </c>
      <c r="L49" s="5">
        <f t="shared" si="1"/>
        <v>0.39180688289010784</v>
      </c>
      <c r="M49" s="4"/>
    </row>
    <row r="50" spans="1:13" x14ac:dyDescent="0.3">
      <c r="A50" t="s">
        <v>117</v>
      </c>
      <c r="B50" t="s">
        <v>118</v>
      </c>
      <c r="C50" t="s">
        <v>25</v>
      </c>
      <c r="D50" t="s">
        <v>43</v>
      </c>
      <c r="E50" t="s">
        <v>23</v>
      </c>
      <c r="F50" t="s">
        <v>15</v>
      </c>
      <c r="G50" s="3">
        <v>11520.6</v>
      </c>
      <c r="H50" s="3">
        <v>7353.03</v>
      </c>
      <c r="I50" s="3">
        <v>62.84</v>
      </c>
      <c r="J50">
        <v>5</v>
      </c>
      <c r="K50" s="4">
        <f t="shared" si="0"/>
        <v>4167.5700000000006</v>
      </c>
      <c r="L50" s="5">
        <f t="shared" si="1"/>
        <v>0.36174938805270562</v>
      </c>
      <c r="M50" s="4"/>
    </row>
    <row r="51" spans="1:13" x14ac:dyDescent="0.3">
      <c r="A51" t="s">
        <v>119</v>
      </c>
      <c r="B51" t="s">
        <v>120</v>
      </c>
      <c r="C51" t="s">
        <v>25</v>
      </c>
      <c r="D51" t="s">
        <v>30</v>
      </c>
      <c r="E51" t="s">
        <v>14</v>
      </c>
      <c r="F51" t="s">
        <v>20</v>
      </c>
      <c r="G51" s="3">
        <v>4195.84</v>
      </c>
      <c r="H51" s="3">
        <v>2585.1799999999998</v>
      </c>
      <c r="I51" s="3">
        <v>318.35000000000002</v>
      </c>
      <c r="J51">
        <v>4</v>
      </c>
      <c r="K51" s="4">
        <f t="shared" si="0"/>
        <v>1610.6600000000003</v>
      </c>
      <c r="L51" s="5">
        <f t="shared" si="1"/>
        <v>0.38387069097010379</v>
      </c>
      <c r="M51" s="4"/>
    </row>
    <row r="52" spans="1:13" x14ac:dyDescent="0.3">
      <c r="A52" t="s">
        <v>121</v>
      </c>
      <c r="B52" t="s">
        <v>122</v>
      </c>
      <c r="C52" t="s">
        <v>12</v>
      </c>
      <c r="D52" t="s">
        <v>35</v>
      </c>
      <c r="E52" t="s">
        <v>27</v>
      </c>
      <c r="F52" t="s">
        <v>15</v>
      </c>
      <c r="G52" s="3">
        <v>18531.8</v>
      </c>
      <c r="H52" s="3">
        <v>15190.33</v>
      </c>
      <c r="I52" s="3">
        <v>343.11</v>
      </c>
      <c r="J52">
        <v>5</v>
      </c>
      <c r="K52" s="4">
        <f t="shared" si="0"/>
        <v>3341.4699999999993</v>
      </c>
      <c r="L52" s="5">
        <f t="shared" si="1"/>
        <v>0.18031006162380339</v>
      </c>
      <c r="M52" s="4"/>
    </row>
    <row r="53" spans="1:13" x14ac:dyDescent="0.3">
      <c r="A53" t="s">
        <v>123</v>
      </c>
      <c r="B53" t="s">
        <v>124</v>
      </c>
      <c r="C53" t="s">
        <v>25</v>
      </c>
      <c r="D53" t="s">
        <v>30</v>
      </c>
      <c r="E53" t="s">
        <v>38</v>
      </c>
      <c r="F53" t="s">
        <v>20</v>
      </c>
      <c r="G53" s="3">
        <v>3174.6</v>
      </c>
      <c r="H53" s="3">
        <v>2698.15</v>
      </c>
      <c r="I53" s="3">
        <v>160.55000000000001</v>
      </c>
      <c r="J53">
        <v>5</v>
      </c>
      <c r="K53" s="4">
        <f t="shared" si="0"/>
        <v>476.44999999999982</v>
      </c>
      <c r="L53" s="5">
        <f t="shared" si="1"/>
        <v>0.15008190008190003</v>
      </c>
      <c r="M53" s="4"/>
    </row>
    <row r="54" spans="1:13" x14ac:dyDescent="0.3">
      <c r="A54" t="s">
        <v>125</v>
      </c>
      <c r="B54" t="s">
        <v>126</v>
      </c>
      <c r="C54" t="s">
        <v>25</v>
      </c>
      <c r="D54" t="s">
        <v>30</v>
      </c>
      <c r="E54" t="s">
        <v>23</v>
      </c>
      <c r="F54" t="s">
        <v>20</v>
      </c>
      <c r="G54" s="3">
        <v>2151</v>
      </c>
      <c r="H54" s="3">
        <v>1682.1</v>
      </c>
      <c r="I54" s="3">
        <v>497.29</v>
      </c>
      <c r="J54">
        <v>1</v>
      </c>
      <c r="K54" s="4">
        <f t="shared" si="0"/>
        <v>468.90000000000009</v>
      </c>
      <c r="L54" s="5">
        <f t="shared" si="1"/>
        <v>0.21799163179916323</v>
      </c>
      <c r="M54" s="4"/>
    </row>
    <row r="55" spans="1:13" x14ac:dyDescent="0.3">
      <c r="A55" t="s">
        <v>127</v>
      </c>
      <c r="B55" t="s">
        <v>128</v>
      </c>
      <c r="C55" t="s">
        <v>18</v>
      </c>
      <c r="D55" t="s">
        <v>55</v>
      </c>
      <c r="E55" t="s">
        <v>14</v>
      </c>
      <c r="F55" t="s">
        <v>15</v>
      </c>
      <c r="G55" s="3">
        <v>1202.01</v>
      </c>
      <c r="H55" s="3">
        <v>780.62</v>
      </c>
      <c r="I55" s="3">
        <v>346.25</v>
      </c>
      <c r="J55">
        <v>1</v>
      </c>
      <c r="K55" s="4">
        <f t="shared" si="0"/>
        <v>421.39</v>
      </c>
      <c r="L55" s="5">
        <f t="shared" si="1"/>
        <v>0.35057112669611734</v>
      </c>
      <c r="M55" s="4"/>
    </row>
    <row r="56" spans="1:13" x14ac:dyDescent="0.3">
      <c r="A56" t="s">
        <v>129</v>
      </c>
      <c r="B56" t="s">
        <v>130</v>
      </c>
      <c r="C56" t="s">
        <v>12</v>
      </c>
      <c r="D56" t="s">
        <v>35</v>
      </c>
      <c r="E56" t="s">
        <v>14</v>
      </c>
      <c r="F56" t="s">
        <v>20</v>
      </c>
      <c r="G56" s="3">
        <v>3447.6</v>
      </c>
      <c r="H56" s="3">
        <v>2444.75</v>
      </c>
      <c r="I56" s="3">
        <v>325.42</v>
      </c>
      <c r="J56">
        <v>5</v>
      </c>
      <c r="K56" s="4">
        <f t="shared" si="0"/>
        <v>1002.8499999999999</v>
      </c>
      <c r="L56" s="5">
        <f t="shared" si="1"/>
        <v>0.29088351316858102</v>
      </c>
      <c r="M56" s="4"/>
    </row>
    <row r="57" spans="1:13" x14ac:dyDescent="0.3">
      <c r="A57" t="s">
        <v>131</v>
      </c>
      <c r="B57" t="s">
        <v>132</v>
      </c>
      <c r="C57" t="s">
        <v>25</v>
      </c>
      <c r="D57" t="s">
        <v>30</v>
      </c>
      <c r="E57" t="s">
        <v>23</v>
      </c>
      <c r="F57" t="s">
        <v>20</v>
      </c>
      <c r="G57" s="3">
        <v>16472.12</v>
      </c>
      <c r="H57" s="3">
        <v>9019.86</v>
      </c>
      <c r="I57" s="3">
        <v>312.18</v>
      </c>
      <c r="J57">
        <v>4</v>
      </c>
      <c r="K57" s="4">
        <f t="shared" si="0"/>
        <v>7452.2599999999984</v>
      </c>
      <c r="L57" s="5">
        <f t="shared" si="1"/>
        <v>0.45241656811630798</v>
      </c>
      <c r="M57" s="4"/>
    </row>
    <row r="58" spans="1:13" x14ac:dyDescent="0.3">
      <c r="A58" t="s">
        <v>133</v>
      </c>
      <c r="B58" t="s">
        <v>134</v>
      </c>
      <c r="C58" t="s">
        <v>12</v>
      </c>
      <c r="D58" t="s">
        <v>13</v>
      </c>
      <c r="E58" t="s">
        <v>27</v>
      </c>
      <c r="F58" t="s">
        <v>20</v>
      </c>
      <c r="G58" s="3">
        <v>998.61</v>
      </c>
      <c r="H58" s="3">
        <v>642.25</v>
      </c>
      <c r="I58" s="3">
        <v>117.7</v>
      </c>
      <c r="J58">
        <v>1</v>
      </c>
      <c r="K58" s="4">
        <f t="shared" si="0"/>
        <v>356.36</v>
      </c>
      <c r="L58" s="5">
        <f t="shared" si="1"/>
        <v>0.35685602988153536</v>
      </c>
      <c r="M58" s="4"/>
    </row>
    <row r="59" spans="1:13" x14ac:dyDescent="0.3">
      <c r="A59" t="s">
        <v>135</v>
      </c>
      <c r="B59" t="s">
        <v>136</v>
      </c>
      <c r="C59" t="s">
        <v>12</v>
      </c>
      <c r="D59" t="s">
        <v>13</v>
      </c>
      <c r="E59" t="s">
        <v>38</v>
      </c>
      <c r="F59" t="s">
        <v>20</v>
      </c>
      <c r="G59" s="3">
        <v>1399.18</v>
      </c>
      <c r="H59" s="3">
        <v>1183.05</v>
      </c>
      <c r="I59" s="3">
        <v>250.89</v>
      </c>
      <c r="J59">
        <v>2</v>
      </c>
      <c r="K59" s="4">
        <f t="shared" si="0"/>
        <v>216.13000000000011</v>
      </c>
      <c r="L59" s="5">
        <f t="shared" si="1"/>
        <v>0.1544690461556055</v>
      </c>
      <c r="M59" s="4"/>
    </row>
    <row r="60" spans="1:13" x14ac:dyDescent="0.3">
      <c r="A60" t="s">
        <v>137</v>
      </c>
      <c r="B60" t="s">
        <v>138</v>
      </c>
      <c r="C60" t="s">
        <v>25</v>
      </c>
      <c r="D60" t="s">
        <v>26</v>
      </c>
      <c r="E60" t="s">
        <v>27</v>
      </c>
      <c r="F60" t="s">
        <v>20</v>
      </c>
      <c r="G60" s="3">
        <v>5872.54</v>
      </c>
      <c r="H60" s="3">
        <v>4678.7</v>
      </c>
      <c r="I60" s="3">
        <v>160.36000000000001</v>
      </c>
      <c r="J60">
        <v>2</v>
      </c>
      <c r="K60" s="4">
        <f t="shared" si="0"/>
        <v>1193.8400000000001</v>
      </c>
      <c r="L60" s="5">
        <f t="shared" si="1"/>
        <v>0.20329193160029563</v>
      </c>
      <c r="M60" s="4"/>
    </row>
    <row r="61" spans="1:13" x14ac:dyDescent="0.3">
      <c r="A61" t="s">
        <v>139</v>
      </c>
      <c r="B61" t="s">
        <v>140</v>
      </c>
      <c r="C61" t="s">
        <v>18</v>
      </c>
      <c r="D61" t="s">
        <v>60</v>
      </c>
      <c r="E61" t="s">
        <v>27</v>
      </c>
      <c r="F61" t="s">
        <v>20</v>
      </c>
      <c r="G61" s="3">
        <v>4172.25</v>
      </c>
      <c r="H61" s="3">
        <v>2777.78</v>
      </c>
      <c r="I61" s="3">
        <v>469.05</v>
      </c>
      <c r="J61">
        <v>1</v>
      </c>
      <c r="K61" s="4">
        <f t="shared" si="0"/>
        <v>1394.4699999999998</v>
      </c>
      <c r="L61" s="5">
        <f t="shared" si="1"/>
        <v>0.33422493858229968</v>
      </c>
      <c r="M61" s="4"/>
    </row>
    <row r="62" spans="1:13" x14ac:dyDescent="0.3">
      <c r="A62" t="s">
        <v>141</v>
      </c>
      <c r="B62" t="s">
        <v>142</v>
      </c>
      <c r="C62" t="s">
        <v>18</v>
      </c>
      <c r="D62" t="s">
        <v>19</v>
      </c>
      <c r="E62" t="s">
        <v>38</v>
      </c>
      <c r="F62" t="s">
        <v>15</v>
      </c>
      <c r="G62" s="3">
        <v>730.16</v>
      </c>
      <c r="H62" s="3">
        <v>405.43</v>
      </c>
      <c r="I62" s="3">
        <v>312.62</v>
      </c>
      <c r="J62">
        <v>1</v>
      </c>
      <c r="K62" s="4">
        <f t="shared" si="0"/>
        <v>324.72999999999996</v>
      </c>
      <c r="L62" s="5">
        <f t="shared" si="1"/>
        <v>0.44473813958584418</v>
      </c>
      <c r="M62" s="4"/>
    </row>
    <row r="63" spans="1:13" x14ac:dyDescent="0.3">
      <c r="A63" t="s">
        <v>143</v>
      </c>
      <c r="B63" t="s">
        <v>144</v>
      </c>
      <c r="C63" t="s">
        <v>25</v>
      </c>
      <c r="D63" t="s">
        <v>30</v>
      </c>
      <c r="E63" t="s">
        <v>14</v>
      </c>
      <c r="F63" t="s">
        <v>20</v>
      </c>
      <c r="G63" s="3">
        <v>5994.48</v>
      </c>
      <c r="H63" s="3">
        <v>3385.01</v>
      </c>
      <c r="I63" s="3">
        <v>109.82</v>
      </c>
      <c r="J63">
        <v>3</v>
      </c>
      <c r="K63" s="4">
        <f t="shared" si="0"/>
        <v>2609.4699999999993</v>
      </c>
      <c r="L63" s="5">
        <f t="shared" si="1"/>
        <v>0.43531215384820693</v>
      </c>
      <c r="M63" s="4"/>
    </row>
    <row r="64" spans="1:13" x14ac:dyDescent="0.3">
      <c r="A64" t="s">
        <v>145</v>
      </c>
      <c r="B64" t="s">
        <v>110</v>
      </c>
      <c r="C64" t="s">
        <v>25</v>
      </c>
      <c r="D64" t="s">
        <v>26</v>
      </c>
      <c r="E64" t="s">
        <v>23</v>
      </c>
      <c r="F64" t="s">
        <v>20</v>
      </c>
      <c r="G64" s="3">
        <v>8462.84</v>
      </c>
      <c r="H64" s="3">
        <v>5024.7</v>
      </c>
      <c r="I64" s="3">
        <v>120.79</v>
      </c>
      <c r="J64">
        <v>2</v>
      </c>
      <c r="K64" s="4">
        <f t="shared" si="0"/>
        <v>3438.1400000000003</v>
      </c>
      <c r="L64" s="5">
        <f t="shared" si="1"/>
        <v>0.40626314570522426</v>
      </c>
      <c r="M64" s="4"/>
    </row>
    <row r="65" spans="1:13" x14ac:dyDescent="0.3">
      <c r="A65" t="s">
        <v>146</v>
      </c>
      <c r="B65" t="s">
        <v>147</v>
      </c>
      <c r="C65" t="s">
        <v>12</v>
      </c>
      <c r="D65" t="s">
        <v>22</v>
      </c>
      <c r="E65" t="s">
        <v>23</v>
      </c>
      <c r="F65" t="s">
        <v>20</v>
      </c>
      <c r="G65" s="3">
        <v>5463.1</v>
      </c>
      <c r="H65" s="3">
        <v>4415.92</v>
      </c>
      <c r="I65" s="3">
        <v>134.29</v>
      </c>
      <c r="J65">
        <v>5</v>
      </c>
      <c r="K65" s="4">
        <f t="shared" si="0"/>
        <v>1047.1800000000003</v>
      </c>
      <c r="L65" s="5">
        <f t="shared" si="1"/>
        <v>0.19168237813695524</v>
      </c>
      <c r="M65" s="4"/>
    </row>
    <row r="66" spans="1:13" x14ac:dyDescent="0.3">
      <c r="A66" t="s">
        <v>148</v>
      </c>
      <c r="B66" t="s">
        <v>149</v>
      </c>
      <c r="C66" t="s">
        <v>12</v>
      </c>
      <c r="D66" t="s">
        <v>35</v>
      </c>
      <c r="E66" t="s">
        <v>27</v>
      </c>
      <c r="F66" t="s">
        <v>20</v>
      </c>
      <c r="G66" s="3">
        <v>6228.42</v>
      </c>
      <c r="H66" s="3">
        <v>5099.47</v>
      </c>
      <c r="I66" s="3">
        <v>118.95</v>
      </c>
      <c r="J66">
        <v>2</v>
      </c>
      <c r="K66" s="4">
        <f t="shared" si="0"/>
        <v>1128.9499999999998</v>
      </c>
      <c r="L66" s="5">
        <f t="shared" si="1"/>
        <v>0.18125784709444767</v>
      </c>
      <c r="M66" s="4"/>
    </row>
    <row r="67" spans="1:13" x14ac:dyDescent="0.3">
      <c r="A67" t="s">
        <v>150</v>
      </c>
      <c r="B67" t="s">
        <v>151</v>
      </c>
      <c r="C67" t="s">
        <v>18</v>
      </c>
      <c r="D67" t="s">
        <v>60</v>
      </c>
      <c r="E67" t="s">
        <v>23</v>
      </c>
      <c r="F67" t="s">
        <v>20</v>
      </c>
      <c r="G67" s="3">
        <v>13268.85</v>
      </c>
      <c r="H67" s="3">
        <v>10771.06</v>
      </c>
      <c r="I67" s="3">
        <v>51.38</v>
      </c>
      <c r="J67">
        <v>3</v>
      </c>
      <c r="K67" s="4">
        <f t="shared" ref="K67:K130" si="2">G67-H67</f>
        <v>2497.7900000000009</v>
      </c>
      <c r="L67" s="5">
        <f t="shared" ref="L67:L130" si="3">K67/G67</f>
        <v>0.18824464817975942</v>
      </c>
      <c r="M67" s="4"/>
    </row>
    <row r="68" spans="1:13" x14ac:dyDescent="0.3">
      <c r="A68" t="s">
        <v>152</v>
      </c>
      <c r="B68" t="s">
        <v>153</v>
      </c>
      <c r="C68" t="s">
        <v>25</v>
      </c>
      <c r="D68" t="s">
        <v>30</v>
      </c>
      <c r="E68" t="s">
        <v>27</v>
      </c>
      <c r="F68" t="s">
        <v>20</v>
      </c>
      <c r="G68" s="3">
        <v>2539.1799999999998</v>
      </c>
      <c r="H68" s="3">
        <v>2123.94</v>
      </c>
      <c r="I68" s="3">
        <v>96.19</v>
      </c>
      <c r="J68">
        <v>1</v>
      </c>
      <c r="K68" s="4">
        <f t="shared" si="2"/>
        <v>415.23999999999978</v>
      </c>
      <c r="L68" s="5">
        <f t="shared" si="3"/>
        <v>0.16353310911396585</v>
      </c>
      <c r="M68" s="4"/>
    </row>
    <row r="69" spans="1:13" x14ac:dyDescent="0.3">
      <c r="A69" t="s">
        <v>154</v>
      </c>
      <c r="B69" t="s">
        <v>155</v>
      </c>
      <c r="C69" t="s">
        <v>25</v>
      </c>
      <c r="D69" t="s">
        <v>43</v>
      </c>
      <c r="E69" t="s">
        <v>27</v>
      </c>
      <c r="F69" t="s">
        <v>15</v>
      </c>
      <c r="G69" s="3">
        <v>9018.06</v>
      </c>
      <c r="H69" s="3">
        <v>6246.29</v>
      </c>
      <c r="I69" s="3">
        <v>197.94</v>
      </c>
      <c r="J69">
        <v>3</v>
      </c>
      <c r="K69" s="4">
        <f t="shared" si="2"/>
        <v>2771.7699999999995</v>
      </c>
      <c r="L69" s="5">
        <f t="shared" si="3"/>
        <v>0.30735768003317782</v>
      </c>
      <c r="M69" s="4"/>
    </row>
    <row r="70" spans="1:13" x14ac:dyDescent="0.3">
      <c r="A70" t="s">
        <v>156</v>
      </c>
      <c r="B70" t="s">
        <v>157</v>
      </c>
      <c r="C70" t="s">
        <v>18</v>
      </c>
      <c r="D70" t="s">
        <v>60</v>
      </c>
      <c r="E70" t="s">
        <v>23</v>
      </c>
      <c r="F70" t="s">
        <v>15</v>
      </c>
      <c r="G70" s="3">
        <v>16740.25</v>
      </c>
      <c r="H70" s="3">
        <v>12197.21</v>
      </c>
      <c r="I70" s="3">
        <v>306.45</v>
      </c>
      <c r="J70">
        <v>5</v>
      </c>
      <c r="K70" s="4">
        <f t="shared" si="2"/>
        <v>4543.0400000000009</v>
      </c>
      <c r="L70" s="5">
        <f t="shared" si="3"/>
        <v>0.27138423858664001</v>
      </c>
      <c r="M70" s="4"/>
    </row>
    <row r="71" spans="1:13" x14ac:dyDescent="0.3">
      <c r="A71" t="s">
        <v>158</v>
      </c>
      <c r="B71" t="s">
        <v>159</v>
      </c>
      <c r="C71" t="s">
        <v>25</v>
      </c>
      <c r="D71" t="s">
        <v>30</v>
      </c>
      <c r="E71" t="s">
        <v>38</v>
      </c>
      <c r="F71" t="s">
        <v>20</v>
      </c>
      <c r="G71" s="3">
        <v>8947.83</v>
      </c>
      <c r="H71" s="3">
        <v>4915.58</v>
      </c>
      <c r="I71" s="3">
        <v>487.71</v>
      </c>
      <c r="J71">
        <v>3</v>
      </c>
      <c r="K71" s="4">
        <f t="shared" si="2"/>
        <v>4032.25</v>
      </c>
      <c r="L71" s="5">
        <f t="shared" si="3"/>
        <v>0.45063998757240581</v>
      </c>
      <c r="M71" s="4"/>
    </row>
    <row r="72" spans="1:13" x14ac:dyDescent="0.3">
      <c r="A72" t="s">
        <v>160</v>
      </c>
      <c r="B72" t="s">
        <v>161</v>
      </c>
      <c r="C72" t="s">
        <v>12</v>
      </c>
      <c r="D72" t="s">
        <v>35</v>
      </c>
      <c r="E72" t="s">
        <v>38</v>
      </c>
      <c r="F72" t="s">
        <v>20</v>
      </c>
      <c r="G72" s="3">
        <v>9068.35</v>
      </c>
      <c r="H72" s="3">
        <v>5246.86</v>
      </c>
      <c r="I72" s="3">
        <v>424.39</v>
      </c>
      <c r="J72">
        <v>5</v>
      </c>
      <c r="K72" s="4">
        <f t="shared" si="2"/>
        <v>3821.4900000000007</v>
      </c>
      <c r="L72" s="5">
        <f t="shared" si="3"/>
        <v>0.42140962799186188</v>
      </c>
      <c r="M72" s="4"/>
    </row>
    <row r="73" spans="1:13" x14ac:dyDescent="0.3">
      <c r="A73" t="s">
        <v>162</v>
      </c>
      <c r="B73" t="s">
        <v>163</v>
      </c>
      <c r="C73" t="s">
        <v>18</v>
      </c>
      <c r="D73" t="s">
        <v>60</v>
      </c>
      <c r="E73" t="s">
        <v>14</v>
      </c>
      <c r="F73" t="s">
        <v>20</v>
      </c>
      <c r="G73" s="3">
        <v>4173.68</v>
      </c>
      <c r="H73" s="3">
        <v>2854.74</v>
      </c>
      <c r="I73" s="3">
        <v>447.01</v>
      </c>
      <c r="J73">
        <v>1</v>
      </c>
      <c r="K73" s="4">
        <f t="shared" si="2"/>
        <v>1318.9400000000005</v>
      </c>
      <c r="L73" s="5">
        <f t="shared" si="3"/>
        <v>0.31601368576412192</v>
      </c>
      <c r="M73" s="4"/>
    </row>
    <row r="74" spans="1:13" x14ac:dyDescent="0.3">
      <c r="A74" t="s">
        <v>164</v>
      </c>
      <c r="B74" t="s">
        <v>165</v>
      </c>
      <c r="C74" t="s">
        <v>25</v>
      </c>
      <c r="D74" t="s">
        <v>30</v>
      </c>
      <c r="E74" t="s">
        <v>14</v>
      </c>
      <c r="F74" t="s">
        <v>20</v>
      </c>
      <c r="G74" s="3">
        <v>10008.65</v>
      </c>
      <c r="H74" s="3">
        <v>6646.42</v>
      </c>
      <c r="I74" s="3">
        <v>139.71</v>
      </c>
      <c r="J74">
        <v>5</v>
      </c>
      <c r="K74" s="4">
        <f t="shared" si="2"/>
        <v>3362.2299999999996</v>
      </c>
      <c r="L74" s="5">
        <f t="shared" si="3"/>
        <v>0.33593241845803379</v>
      </c>
      <c r="M74" s="4"/>
    </row>
    <row r="75" spans="1:13" x14ac:dyDescent="0.3">
      <c r="A75" t="s">
        <v>166</v>
      </c>
      <c r="B75" t="s">
        <v>167</v>
      </c>
      <c r="C75" t="s">
        <v>25</v>
      </c>
      <c r="D75" t="s">
        <v>43</v>
      </c>
      <c r="E75" t="s">
        <v>23</v>
      </c>
      <c r="F75" t="s">
        <v>20</v>
      </c>
      <c r="G75" s="3">
        <v>840.08</v>
      </c>
      <c r="H75" s="3">
        <v>710.92</v>
      </c>
      <c r="I75" s="3">
        <v>474.09</v>
      </c>
      <c r="J75">
        <v>4</v>
      </c>
      <c r="K75" s="4">
        <f t="shared" si="2"/>
        <v>129.16000000000008</v>
      </c>
      <c r="L75" s="5">
        <f t="shared" si="3"/>
        <v>0.15374726216550813</v>
      </c>
      <c r="M75" s="4"/>
    </row>
    <row r="76" spans="1:13" x14ac:dyDescent="0.3">
      <c r="A76" t="s">
        <v>168</v>
      </c>
      <c r="B76" t="s">
        <v>169</v>
      </c>
      <c r="C76" t="s">
        <v>25</v>
      </c>
      <c r="D76" t="s">
        <v>26</v>
      </c>
      <c r="E76" t="s">
        <v>23</v>
      </c>
      <c r="F76" t="s">
        <v>15</v>
      </c>
      <c r="G76" s="3">
        <v>14810.35</v>
      </c>
      <c r="H76" s="3">
        <v>10835.22</v>
      </c>
      <c r="I76" s="3">
        <v>264.64</v>
      </c>
      <c r="J76">
        <v>5</v>
      </c>
      <c r="K76" s="4">
        <f t="shared" si="2"/>
        <v>3975.130000000001</v>
      </c>
      <c r="L76" s="5">
        <f t="shared" si="3"/>
        <v>0.26840216470238726</v>
      </c>
      <c r="M76" s="4"/>
    </row>
    <row r="77" spans="1:13" x14ac:dyDescent="0.3">
      <c r="A77" t="s">
        <v>170</v>
      </c>
      <c r="B77" t="s">
        <v>171</v>
      </c>
      <c r="C77" t="s">
        <v>18</v>
      </c>
      <c r="D77" t="s">
        <v>46</v>
      </c>
      <c r="E77" t="s">
        <v>38</v>
      </c>
      <c r="F77" t="s">
        <v>20</v>
      </c>
      <c r="G77" s="3">
        <v>22905.05</v>
      </c>
      <c r="H77" s="3">
        <v>14204.98</v>
      </c>
      <c r="I77" s="3">
        <v>337.01</v>
      </c>
      <c r="J77">
        <v>5</v>
      </c>
      <c r="K77" s="4">
        <f t="shared" si="2"/>
        <v>8700.07</v>
      </c>
      <c r="L77" s="5">
        <f t="shared" si="3"/>
        <v>0.37983195845457662</v>
      </c>
      <c r="M77" s="4"/>
    </row>
    <row r="78" spans="1:13" x14ac:dyDescent="0.3">
      <c r="A78" t="s">
        <v>172</v>
      </c>
      <c r="B78" t="s">
        <v>173</v>
      </c>
      <c r="C78" t="s">
        <v>25</v>
      </c>
      <c r="D78" t="s">
        <v>30</v>
      </c>
      <c r="E78" t="s">
        <v>27</v>
      </c>
      <c r="F78" t="s">
        <v>20</v>
      </c>
      <c r="G78" s="3">
        <v>3778.04</v>
      </c>
      <c r="H78" s="3">
        <v>2507.88</v>
      </c>
      <c r="I78" s="3">
        <v>470.68</v>
      </c>
      <c r="J78">
        <v>4</v>
      </c>
      <c r="K78" s="4">
        <f t="shared" si="2"/>
        <v>1270.1599999999999</v>
      </c>
      <c r="L78" s="5">
        <f t="shared" si="3"/>
        <v>0.33619548760733076</v>
      </c>
      <c r="M78" s="4"/>
    </row>
    <row r="79" spans="1:13" x14ac:dyDescent="0.3">
      <c r="A79" t="s">
        <v>174</v>
      </c>
      <c r="B79" t="s">
        <v>175</v>
      </c>
      <c r="C79" t="s">
        <v>25</v>
      </c>
      <c r="D79" t="s">
        <v>26</v>
      </c>
      <c r="E79" t="s">
        <v>27</v>
      </c>
      <c r="F79" t="s">
        <v>20</v>
      </c>
      <c r="G79" s="3">
        <v>19135.05</v>
      </c>
      <c r="H79" s="3">
        <v>10776.33</v>
      </c>
      <c r="I79" s="3">
        <v>304.10000000000002</v>
      </c>
      <c r="J79">
        <v>5</v>
      </c>
      <c r="K79" s="4">
        <f t="shared" si="2"/>
        <v>8358.7199999999993</v>
      </c>
      <c r="L79" s="5">
        <f t="shared" si="3"/>
        <v>0.43682770622496414</v>
      </c>
      <c r="M79" s="4"/>
    </row>
    <row r="80" spans="1:13" x14ac:dyDescent="0.3">
      <c r="A80" t="s">
        <v>176</v>
      </c>
      <c r="B80" t="s">
        <v>177</v>
      </c>
      <c r="C80" t="s">
        <v>25</v>
      </c>
      <c r="D80" t="s">
        <v>30</v>
      </c>
      <c r="E80" t="s">
        <v>27</v>
      </c>
      <c r="F80" t="s">
        <v>15</v>
      </c>
      <c r="G80" s="3">
        <v>4553.46</v>
      </c>
      <c r="H80" s="3">
        <v>3855.3</v>
      </c>
      <c r="I80" s="3">
        <v>74.459999999999994</v>
      </c>
      <c r="J80">
        <v>2</v>
      </c>
      <c r="K80" s="4">
        <f t="shared" si="2"/>
        <v>698.15999999999985</v>
      </c>
      <c r="L80" s="5">
        <f t="shared" si="3"/>
        <v>0.15332516372165339</v>
      </c>
      <c r="M80" s="4"/>
    </row>
    <row r="81" spans="1:13" x14ac:dyDescent="0.3">
      <c r="A81" t="s">
        <v>178</v>
      </c>
      <c r="B81" t="s">
        <v>132</v>
      </c>
      <c r="C81" t="s">
        <v>12</v>
      </c>
      <c r="D81" t="s">
        <v>35</v>
      </c>
      <c r="E81" t="s">
        <v>38</v>
      </c>
      <c r="F81" t="s">
        <v>15</v>
      </c>
      <c r="G81" s="3">
        <v>2606.2800000000002</v>
      </c>
      <c r="H81" s="3">
        <v>1622.88</v>
      </c>
      <c r="I81" s="3">
        <v>214.01</v>
      </c>
      <c r="J81">
        <v>4</v>
      </c>
      <c r="K81" s="4">
        <f t="shared" si="2"/>
        <v>983.40000000000009</v>
      </c>
      <c r="L81" s="5">
        <f t="shared" si="3"/>
        <v>0.37731939776232792</v>
      </c>
      <c r="M81" s="4"/>
    </row>
    <row r="82" spans="1:13" x14ac:dyDescent="0.3">
      <c r="A82" t="s">
        <v>179</v>
      </c>
      <c r="B82" t="s">
        <v>180</v>
      </c>
      <c r="C82" t="s">
        <v>18</v>
      </c>
      <c r="D82" t="s">
        <v>46</v>
      </c>
      <c r="E82" t="s">
        <v>14</v>
      </c>
      <c r="F82" t="s">
        <v>15</v>
      </c>
      <c r="G82" s="3">
        <v>15696.85</v>
      </c>
      <c r="H82" s="3">
        <v>9184.86</v>
      </c>
      <c r="I82" s="3">
        <v>153.41</v>
      </c>
      <c r="J82">
        <v>5</v>
      </c>
      <c r="K82" s="4">
        <f t="shared" si="2"/>
        <v>6511.99</v>
      </c>
      <c r="L82" s="5">
        <f t="shared" si="3"/>
        <v>0.41485966929670598</v>
      </c>
      <c r="M82" s="4"/>
    </row>
    <row r="83" spans="1:13" x14ac:dyDescent="0.3">
      <c r="A83" t="s">
        <v>181</v>
      </c>
      <c r="B83" t="s">
        <v>182</v>
      </c>
      <c r="C83" t="s">
        <v>18</v>
      </c>
      <c r="D83" t="s">
        <v>46</v>
      </c>
      <c r="E83" t="s">
        <v>38</v>
      </c>
      <c r="F83" t="s">
        <v>20</v>
      </c>
      <c r="G83" s="3">
        <v>18639</v>
      </c>
      <c r="H83" s="3">
        <v>15249.12</v>
      </c>
      <c r="I83" s="3">
        <v>285.61</v>
      </c>
      <c r="J83">
        <v>5</v>
      </c>
      <c r="K83" s="4">
        <f t="shared" si="2"/>
        <v>3389.8799999999992</v>
      </c>
      <c r="L83" s="5">
        <f t="shared" si="3"/>
        <v>0.18187027201030093</v>
      </c>
      <c r="M83" s="4"/>
    </row>
    <row r="84" spans="1:13" x14ac:dyDescent="0.3">
      <c r="A84" t="s">
        <v>183</v>
      </c>
      <c r="B84" t="s">
        <v>184</v>
      </c>
      <c r="C84" t="s">
        <v>12</v>
      </c>
      <c r="D84" t="s">
        <v>35</v>
      </c>
      <c r="E84" t="s">
        <v>23</v>
      </c>
      <c r="F84" t="s">
        <v>20</v>
      </c>
      <c r="G84" s="3">
        <v>14173.8</v>
      </c>
      <c r="H84" s="3">
        <v>11493.92</v>
      </c>
      <c r="I84" s="3">
        <v>166.67</v>
      </c>
      <c r="J84">
        <v>5</v>
      </c>
      <c r="K84" s="4">
        <f t="shared" si="2"/>
        <v>2679.8799999999992</v>
      </c>
      <c r="L84" s="5">
        <f t="shared" si="3"/>
        <v>0.18907279628610529</v>
      </c>
      <c r="M84" s="4"/>
    </row>
    <row r="85" spans="1:13" x14ac:dyDescent="0.3">
      <c r="A85" t="s">
        <v>185</v>
      </c>
      <c r="B85" t="s">
        <v>186</v>
      </c>
      <c r="C85" t="s">
        <v>18</v>
      </c>
      <c r="D85" t="s">
        <v>19</v>
      </c>
      <c r="E85" t="s">
        <v>38</v>
      </c>
      <c r="F85" t="s">
        <v>20</v>
      </c>
      <c r="G85" s="3">
        <v>8811.27</v>
      </c>
      <c r="H85" s="3">
        <v>6023.72</v>
      </c>
      <c r="I85" s="3">
        <v>204.94</v>
      </c>
      <c r="J85">
        <v>3</v>
      </c>
      <c r="K85" s="4">
        <f t="shared" si="2"/>
        <v>2787.55</v>
      </c>
      <c r="L85" s="5">
        <f t="shared" si="3"/>
        <v>0.3163618865384899</v>
      </c>
      <c r="M85" s="4"/>
    </row>
    <row r="86" spans="1:13" x14ac:dyDescent="0.3">
      <c r="A86" t="s">
        <v>187</v>
      </c>
      <c r="B86" t="s">
        <v>188</v>
      </c>
      <c r="C86" t="s">
        <v>12</v>
      </c>
      <c r="D86" t="s">
        <v>22</v>
      </c>
      <c r="E86" t="s">
        <v>27</v>
      </c>
      <c r="F86" t="s">
        <v>20</v>
      </c>
      <c r="G86" s="3">
        <v>9477.08</v>
      </c>
      <c r="H86" s="3">
        <v>6564.72</v>
      </c>
      <c r="I86" s="3">
        <v>400.88</v>
      </c>
      <c r="J86">
        <v>4</v>
      </c>
      <c r="K86" s="4">
        <f t="shared" si="2"/>
        <v>2912.3599999999997</v>
      </c>
      <c r="L86" s="5">
        <f t="shared" si="3"/>
        <v>0.30730562578346915</v>
      </c>
      <c r="M86" s="4"/>
    </row>
    <row r="87" spans="1:13" x14ac:dyDescent="0.3">
      <c r="A87" t="s">
        <v>189</v>
      </c>
      <c r="B87" t="s">
        <v>190</v>
      </c>
      <c r="C87" t="s">
        <v>18</v>
      </c>
      <c r="D87" t="s">
        <v>46</v>
      </c>
      <c r="E87" t="s">
        <v>27</v>
      </c>
      <c r="F87" t="s">
        <v>20</v>
      </c>
      <c r="G87" s="3">
        <v>8343.4500000000007</v>
      </c>
      <c r="H87" s="3">
        <v>4687.3599999999997</v>
      </c>
      <c r="I87" s="3">
        <v>174.09</v>
      </c>
      <c r="J87">
        <v>5</v>
      </c>
      <c r="K87" s="4">
        <f t="shared" si="2"/>
        <v>3656.0900000000011</v>
      </c>
      <c r="L87" s="5">
        <f t="shared" si="3"/>
        <v>0.43819882662447796</v>
      </c>
      <c r="M87" s="4"/>
    </row>
    <row r="88" spans="1:13" x14ac:dyDescent="0.3">
      <c r="A88" t="s">
        <v>191</v>
      </c>
      <c r="B88" t="s">
        <v>192</v>
      </c>
      <c r="C88" t="s">
        <v>18</v>
      </c>
      <c r="D88" t="s">
        <v>55</v>
      </c>
      <c r="E88" t="s">
        <v>23</v>
      </c>
      <c r="F88" t="s">
        <v>20</v>
      </c>
      <c r="G88" s="3">
        <v>628.64</v>
      </c>
      <c r="H88" s="3">
        <v>390.04</v>
      </c>
      <c r="I88" s="3">
        <v>361.71</v>
      </c>
      <c r="J88">
        <v>2</v>
      </c>
      <c r="K88" s="4">
        <f t="shared" si="2"/>
        <v>238.59999999999997</v>
      </c>
      <c r="L88" s="5">
        <f t="shared" si="3"/>
        <v>0.37954950369050644</v>
      </c>
      <c r="M88" s="4"/>
    </row>
    <row r="89" spans="1:13" x14ac:dyDescent="0.3">
      <c r="A89" t="s">
        <v>193</v>
      </c>
      <c r="B89" t="s">
        <v>194</v>
      </c>
      <c r="C89" t="s">
        <v>18</v>
      </c>
      <c r="D89" t="s">
        <v>19</v>
      </c>
      <c r="E89" t="s">
        <v>14</v>
      </c>
      <c r="F89" t="s">
        <v>20</v>
      </c>
      <c r="G89" s="3">
        <v>9990.7199999999993</v>
      </c>
      <c r="H89" s="3">
        <v>8192.6</v>
      </c>
      <c r="I89" s="3">
        <v>283.32</v>
      </c>
      <c r="J89">
        <v>4</v>
      </c>
      <c r="K89" s="4">
        <f t="shared" si="2"/>
        <v>1798.119999999999</v>
      </c>
      <c r="L89" s="5">
        <f t="shared" si="3"/>
        <v>0.17997902053105272</v>
      </c>
      <c r="M89" s="4"/>
    </row>
    <row r="90" spans="1:13" x14ac:dyDescent="0.3">
      <c r="A90" t="s">
        <v>195</v>
      </c>
      <c r="B90" t="s">
        <v>196</v>
      </c>
      <c r="C90" t="s">
        <v>25</v>
      </c>
      <c r="D90" t="s">
        <v>43</v>
      </c>
      <c r="E90" t="s">
        <v>23</v>
      </c>
      <c r="F90" t="s">
        <v>15</v>
      </c>
      <c r="G90" s="3">
        <v>17159.04</v>
      </c>
      <c r="H90" s="3">
        <v>9520.02</v>
      </c>
      <c r="I90" s="3">
        <v>463.9</v>
      </c>
      <c r="J90">
        <v>4</v>
      </c>
      <c r="K90" s="4">
        <f t="shared" si="2"/>
        <v>7639.02</v>
      </c>
      <c r="L90" s="5">
        <f t="shared" si="3"/>
        <v>0.44518924135615978</v>
      </c>
      <c r="M90" s="4"/>
    </row>
    <row r="91" spans="1:13" x14ac:dyDescent="0.3">
      <c r="A91" t="s">
        <v>197</v>
      </c>
      <c r="B91" t="s">
        <v>198</v>
      </c>
      <c r="C91" t="s">
        <v>18</v>
      </c>
      <c r="D91" t="s">
        <v>46</v>
      </c>
      <c r="E91" t="s">
        <v>23</v>
      </c>
      <c r="F91" t="s">
        <v>15</v>
      </c>
      <c r="G91" s="3">
        <v>16022.95</v>
      </c>
      <c r="H91" s="3">
        <v>10560.51</v>
      </c>
      <c r="I91" s="3">
        <v>488.51</v>
      </c>
      <c r="J91">
        <v>5</v>
      </c>
      <c r="K91" s="4">
        <f t="shared" si="2"/>
        <v>5462.4400000000005</v>
      </c>
      <c r="L91" s="5">
        <f t="shared" si="3"/>
        <v>0.34091350219528865</v>
      </c>
      <c r="M91" s="4"/>
    </row>
    <row r="92" spans="1:13" x14ac:dyDescent="0.3">
      <c r="A92" t="s">
        <v>199</v>
      </c>
      <c r="B92" t="s">
        <v>200</v>
      </c>
      <c r="C92" t="s">
        <v>18</v>
      </c>
      <c r="D92" t="s">
        <v>19</v>
      </c>
      <c r="E92" t="s">
        <v>38</v>
      </c>
      <c r="F92" t="s">
        <v>20</v>
      </c>
      <c r="G92" s="3">
        <v>9407.9</v>
      </c>
      <c r="H92" s="3">
        <v>6792.68</v>
      </c>
      <c r="I92" s="3">
        <v>302.35000000000002</v>
      </c>
      <c r="J92">
        <v>2</v>
      </c>
      <c r="K92" s="4">
        <f t="shared" si="2"/>
        <v>2615.2199999999993</v>
      </c>
      <c r="L92" s="5">
        <f t="shared" si="3"/>
        <v>0.27798127105942871</v>
      </c>
      <c r="M92" s="4"/>
    </row>
    <row r="93" spans="1:13" x14ac:dyDescent="0.3">
      <c r="A93" t="s">
        <v>201</v>
      </c>
      <c r="B93" t="s">
        <v>202</v>
      </c>
      <c r="C93" t="s">
        <v>25</v>
      </c>
      <c r="D93" t="s">
        <v>43</v>
      </c>
      <c r="E93" t="s">
        <v>38</v>
      </c>
      <c r="F93" t="s">
        <v>15</v>
      </c>
      <c r="G93" s="3">
        <v>5860.78</v>
      </c>
      <c r="H93" s="3">
        <v>4820.5200000000004</v>
      </c>
      <c r="I93" s="3">
        <v>399.79</v>
      </c>
      <c r="J93">
        <v>2</v>
      </c>
      <c r="K93" s="4">
        <f t="shared" si="2"/>
        <v>1040.2599999999993</v>
      </c>
      <c r="L93" s="5">
        <f t="shared" si="3"/>
        <v>0.17749514569733027</v>
      </c>
      <c r="M93" s="4"/>
    </row>
    <row r="94" spans="1:13" x14ac:dyDescent="0.3">
      <c r="A94" t="s">
        <v>203</v>
      </c>
      <c r="B94" t="s">
        <v>204</v>
      </c>
      <c r="C94" t="s">
        <v>12</v>
      </c>
      <c r="D94" t="s">
        <v>35</v>
      </c>
      <c r="E94" t="s">
        <v>27</v>
      </c>
      <c r="F94" t="s">
        <v>20</v>
      </c>
      <c r="G94" s="3">
        <v>6567.96</v>
      </c>
      <c r="H94" s="3">
        <v>3603.02</v>
      </c>
      <c r="I94" s="3">
        <v>268.83</v>
      </c>
      <c r="J94">
        <v>3</v>
      </c>
      <c r="K94" s="4">
        <f t="shared" si="2"/>
        <v>2964.94</v>
      </c>
      <c r="L94" s="5">
        <f t="shared" si="3"/>
        <v>0.45142479552250625</v>
      </c>
      <c r="M94" s="4"/>
    </row>
    <row r="95" spans="1:13" x14ac:dyDescent="0.3">
      <c r="A95" t="s">
        <v>205</v>
      </c>
      <c r="B95" t="s">
        <v>108</v>
      </c>
      <c r="C95" t="s">
        <v>18</v>
      </c>
      <c r="D95" t="s">
        <v>60</v>
      </c>
      <c r="E95" t="s">
        <v>38</v>
      </c>
      <c r="F95" t="s">
        <v>20</v>
      </c>
      <c r="G95" s="3">
        <v>11085.12</v>
      </c>
      <c r="H95" s="3">
        <v>8336.86</v>
      </c>
      <c r="I95" s="3">
        <v>305.02</v>
      </c>
      <c r="J95">
        <v>4</v>
      </c>
      <c r="K95" s="4">
        <f t="shared" si="2"/>
        <v>2748.26</v>
      </c>
      <c r="L95" s="5">
        <f t="shared" si="3"/>
        <v>0.24792334228226667</v>
      </c>
      <c r="M95" s="4"/>
    </row>
    <row r="96" spans="1:13" x14ac:dyDescent="0.3">
      <c r="A96" t="s">
        <v>206</v>
      </c>
      <c r="B96" t="s">
        <v>200</v>
      </c>
      <c r="C96" t="s">
        <v>25</v>
      </c>
      <c r="D96" t="s">
        <v>43</v>
      </c>
      <c r="E96" t="s">
        <v>23</v>
      </c>
      <c r="F96" t="s">
        <v>15</v>
      </c>
      <c r="G96" s="3">
        <v>1060.3599999999999</v>
      </c>
      <c r="H96" s="3">
        <v>675.83</v>
      </c>
      <c r="I96" s="3">
        <v>227.53</v>
      </c>
      <c r="J96">
        <v>1</v>
      </c>
      <c r="K96" s="4">
        <f t="shared" si="2"/>
        <v>384.52999999999986</v>
      </c>
      <c r="L96" s="5">
        <f t="shared" si="3"/>
        <v>0.36264098985250282</v>
      </c>
      <c r="M96" s="4"/>
    </row>
    <row r="97" spans="1:13" x14ac:dyDescent="0.3">
      <c r="A97" t="s">
        <v>207</v>
      </c>
      <c r="B97" t="s">
        <v>208</v>
      </c>
      <c r="C97" t="s">
        <v>18</v>
      </c>
      <c r="D97" t="s">
        <v>55</v>
      </c>
      <c r="E97" t="s">
        <v>14</v>
      </c>
      <c r="F97" t="s">
        <v>20</v>
      </c>
      <c r="G97" s="3">
        <v>16384.48</v>
      </c>
      <c r="H97" s="3">
        <v>11248.64</v>
      </c>
      <c r="I97" s="3">
        <v>474.28</v>
      </c>
      <c r="J97">
        <v>4</v>
      </c>
      <c r="K97" s="4">
        <f t="shared" si="2"/>
        <v>5135.84</v>
      </c>
      <c r="L97" s="5">
        <f t="shared" si="3"/>
        <v>0.31345761354647816</v>
      </c>
      <c r="M97" s="4"/>
    </row>
    <row r="98" spans="1:13" x14ac:dyDescent="0.3">
      <c r="A98" t="s">
        <v>209</v>
      </c>
      <c r="B98" t="s">
        <v>210</v>
      </c>
      <c r="C98" t="s">
        <v>12</v>
      </c>
      <c r="D98" t="s">
        <v>22</v>
      </c>
      <c r="E98" t="s">
        <v>27</v>
      </c>
      <c r="F98" t="s">
        <v>15</v>
      </c>
      <c r="G98" s="3">
        <v>16034.5</v>
      </c>
      <c r="H98" s="3">
        <v>8326.73</v>
      </c>
      <c r="I98" s="3">
        <v>250.68</v>
      </c>
      <c r="J98">
        <v>5</v>
      </c>
      <c r="K98" s="4">
        <f t="shared" si="2"/>
        <v>7707.77</v>
      </c>
      <c r="L98" s="5">
        <f t="shared" si="3"/>
        <v>0.48069911752783062</v>
      </c>
      <c r="M98" s="4"/>
    </row>
    <row r="99" spans="1:13" x14ac:dyDescent="0.3">
      <c r="A99" t="s">
        <v>211</v>
      </c>
      <c r="B99" t="s">
        <v>87</v>
      </c>
      <c r="C99" t="s">
        <v>25</v>
      </c>
      <c r="D99" t="s">
        <v>30</v>
      </c>
      <c r="E99" t="s">
        <v>27</v>
      </c>
      <c r="F99" t="s">
        <v>15</v>
      </c>
      <c r="G99" s="3">
        <v>2273.88</v>
      </c>
      <c r="H99" s="3">
        <v>1433.39</v>
      </c>
      <c r="I99" s="3">
        <v>213.21</v>
      </c>
      <c r="J99">
        <v>4</v>
      </c>
      <c r="K99" s="4">
        <f t="shared" si="2"/>
        <v>840.49</v>
      </c>
      <c r="L99" s="5">
        <f t="shared" si="3"/>
        <v>0.36962812461519517</v>
      </c>
      <c r="M99" s="4"/>
    </row>
    <row r="100" spans="1:13" x14ac:dyDescent="0.3">
      <c r="A100" t="s">
        <v>212</v>
      </c>
      <c r="B100" t="s">
        <v>213</v>
      </c>
      <c r="C100" t="s">
        <v>18</v>
      </c>
      <c r="D100" t="s">
        <v>55</v>
      </c>
      <c r="E100" t="s">
        <v>14</v>
      </c>
      <c r="F100" t="s">
        <v>20</v>
      </c>
      <c r="G100" s="3">
        <v>7331.08</v>
      </c>
      <c r="H100" s="3">
        <v>5571.35</v>
      </c>
      <c r="I100" s="3">
        <v>404.25</v>
      </c>
      <c r="J100">
        <v>4</v>
      </c>
      <c r="K100" s="4">
        <f t="shared" si="2"/>
        <v>1759.7299999999996</v>
      </c>
      <c r="L100" s="5">
        <f t="shared" si="3"/>
        <v>0.24003693862295863</v>
      </c>
      <c r="M100" s="4"/>
    </row>
    <row r="101" spans="1:13" x14ac:dyDescent="0.3">
      <c r="A101" t="s">
        <v>214</v>
      </c>
      <c r="B101" t="s">
        <v>173</v>
      </c>
      <c r="C101" t="s">
        <v>25</v>
      </c>
      <c r="D101" t="s">
        <v>43</v>
      </c>
      <c r="E101" t="s">
        <v>27</v>
      </c>
      <c r="F101" t="s">
        <v>15</v>
      </c>
      <c r="G101" s="3">
        <v>3199.4</v>
      </c>
      <c r="H101" s="3">
        <v>2060.88</v>
      </c>
      <c r="I101" s="3">
        <v>83.66</v>
      </c>
      <c r="J101">
        <v>4</v>
      </c>
      <c r="K101" s="4">
        <f t="shared" si="2"/>
        <v>1138.52</v>
      </c>
      <c r="L101" s="5">
        <f t="shared" si="3"/>
        <v>0.35585422266674999</v>
      </c>
      <c r="M101" s="4"/>
    </row>
    <row r="102" spans="1:13" x14ac:dyDescent="0.3">
      <c r="A102" t="s">
        <v>215</v>
      </c>
      <c r="B102" t="s">
        <v>216</v>
      </c>
      <c r="C102" t="s">
        <v>18</v>
      </c>
      <c r="D102" t="s">
        <v>55</v>
      </c>
      <c r="E102" t="s">
        <v>27</v>
      </c>
      <c r="F102" t="s">
        <v>15</v>
      </c>
      <c r="G102" s="3">
        <v>8526.56</v>
      </c>
      <c r="H102" s="3">
        <v>5448.41</v>
      </c>
      <c r="I102" s="3">
        <v>51.75</v>
      </c>
      <c r="J102">
        <v>4</v>
      </c>
      <c r="K102" s="4">
        <f t="shared" si="2"/>
        <v>3078.1499999999996</v>
      </c>
      <c r="L102" s="5">
        <f t="shared" si="3"/>
        <v>0.36100725263177647</v>
      </c>
      <c r="M102" s="4"/>
    </row>
    <row r="103" spans="1:13" x14ac:dyDescent="0.3">
      <c r="A103" t="s">
        <v>217</v>
      </c>
      <c r="B103" t="s">
        <v>218</v>
      </c>
      <c r="C103" t="s">
        <v>25</v>
      </c>
      <c r="D103" t="s">
        <v>26</v>
      </c>
      <c r="E103" t="s">
        <v>27</v>
      </c>
      <c r="F103" t="s">
        <v>15</v>
      </c>
      <c r="G103" s="3">
        <v>11322.09</v>
      </c>
      <c r="H103" s="3">
        <v>8354.7000000000007</v>
      </c>
      <c r="I103" s="3">
        <v>405.97</v>
      </c>
      <c r="J103">
        <v>3</v>
      </c>
      <c r="K103" s="4">
        <f t="shared" si="2"/>
        <v>2967.3899999999994</v>
      </c>
      <c r="L103" s="5">
        <f t="shared" si="3"/>
        <v>0.26208853665710125</v>
      </c>
      <c r="M103" s="4"/>
    </row>
    <row r="104" spans="1:13" x14ac:dyDescent="0.3">
      <c r="A104" t="s">
        <v>219</v>
      </c>
      <c r="B104" t="s">
        <v>220</v>
      </c>
      <c r="C104" t="s">
        <v>18</v>
      </c>
      <c r="D104" t="s">
        <v>60</v>
      </c>
      <c r="E104" t="s">
        <v>38</v>
      </c>
      <c r="F104" t="s">
        <v>15</v>
      </c>
      <c r="G104" s="3">
        <v>5590.34</v>
      </c>
      <c r="H104" s="3">
        <v>4478.92</v>
      </c>
      <c r="I104" s="3">
        <v>491.87</v>
      </c>
      <c r="J104">
        <v>2</v>
      </c>
      <c r="K104" s="4">
        <f t="shared" si="2"/>
        <v>1111.42</v>
      </c>
      <c r="L104" s="5">
        <f t="shared" si="3"/>
        <v>0.19881080578283253</v>
      </c>
      <c r="M104" s="4"/>
    </row>
    <row r="105" spans="1:13" x14ac:dyDescent="0.3">
      <c r="A105" t="s">
        <v>221</v>
      </c>
      <c r="B105" t="s">
        <v>114</v>
      </c>
      <c r="C105" t="s">
        <v>18</v>
      </c>
      <c r="D105" t="s">
        <v>19</v>
      </c>
      <c r="E105" t="s">
        <v>27</v>
      </c>
      <c r="F105" t="s">
        <v>20</v>
      </c>
      <c r="G105" s="3">
        <v>4547.7299999999996</v>
      </c>
      <c r="H105" s="3">
        <v>3466.56</v>
      </c>
      <c r="I105" s="3">
        <v>496.68</v>
      </c>
      <c r="J105">
        <v>1</v>
      </c>
      <c r="K105" s="4">
        <f t="shared" si="2"/>
        <v>1081.1699999999996</v>
      </c>
      <c r="L105" s="5">
        <f t="shared" si="3"/>
        <v>0.23773838816288559</v>
      </c>
      <c r="M105" s="4"/>
    </row>
    <row r="106" spans="1:13" x14ac:dyDescent="0.3">
      <c r="A106" t="s">
        <v>222</v>
      </c>
      <c r="B106" t="s">
        <v>223</v>
      </c>
      <c r="C106" t="s">
        <v>12</v>
      </c>
      <c r="D106" t="s">
        <v>13</v>
      </c>
      <c r="E106" t="s">
        <v>23</v>
      </c>
      <c r="F106" t="s">
        <v>20</v>
      </c>
      <c r="G106" s="3">
        <v>22930.6</v>
      </c>
      <c r="H106" s="3">
        <v>12490.6</v>
      </c>
      <c r="I106" s="3">
        <v>199.85</v>
      </c>
      <c r="J106">
        <v>5</v>
      </c>
      <c r="K106" s="4">
        <f t="shared" si="2"/>
        <v>10439.999999999998</v>
      </c>
      <c r="L106" s="5">
        <f t="shared" si="3"/>
        <v>0.455286821975875</v>
      </c>
      <c r="M106" s="4"/>
    </row>
    <row r="107" spans="1:13" x14ac:dyDescent="0.3">
      <c r="A107" t="s">
        <v>224</v>
      </c>
      <c r="B107" t="s">
        <v>225</v>
      </c>
      <c r="C107" t="s">
        <v>25</v>
      </c>
      <c r="D107" t="s">
        <v>26</v>
      </c>
      <c r="E107" t="s">
        <v>23</v>
      </c>
      <c r="F107" t="s">
        <v>15</v>
      </c>
      <c r="G107" s="3">
        <v>5098.84</v>
      </c>
      <c r="H107" s="3">
        <v>3740.89</v>
      </c>
      <c r="I107" s="3">
        <v>149.08000000000001</v>
      </c>
      <c r="J107">
        <v>4</v>
      </c>
      <c r="K107" s="4">
        <f t="shared" si="2"/>
        <v>1357.9500000000003</v>
      </c>
      <c r="L107" s="5">
        <f t="shared" si="3"/>
        <v>0.26632528182880816</v>
      </c>
      <c r="M107" s="4"/>
    </row>
    <row r="108" spans="1:13" x14ac:dyDescent="0.3">
      <c r="A108" t="s">
        <v>226</v>
      </c>
      <c r="B108" t="s">
        <v>11</v>
      </c>
      <c r="C108" t="s">
        <v>12</v>
      </c>
      <c r="D108" t="s">
        <v>22</v>
      </c>
      <c r="E108" t="s">
        <v>38</v>
      </c>
      <c r="F108" t="s">
        <v>20</v>
      </c>
      <c r="G108" s="3">
        <v>6571.24</v>
      </c>
      <c r="H108" s="3">
        <v>4615.2</v>
      </c>
      <c r="I108" s="3">
        <v>134.63</v>
      </c>
      <c r="J108">
        <v>2</v>
      </c>
      <c r="K108" s="4">
        <f t="shared" si="2"/>
        <v>1956.04</v>
      </c>
      <c r="L108" s="5">
        <f t="shared" si="3"/>
        <v>0.2976668026125967</v>
      </c>
      <c r="M108" s="4"/>
    </row>
    <row r="109" spans="1:13" x14ac:dyDescent="0.3">
      <c r="A109" t="s">
        <v>227</v>
      </c>
      <c r="B109" t="s">
        <v>228</v>
      </c>
      <c r="C109" t="s">
        <v>25</v>
      </c>
      <c r="D109" t="s">
        <v>30</v>
      </c>
      <c r="E109" t="s">
        <v>38</v>
      </c>
      <c r="F109" t="s">
        <v>20</v>
      </c>
      <c r="G109" s="3">
        <v>5680.36</v>
      </c>
      <c r="H109" s="3">
        <v>4348.83</v>
      </c>
      <c r="I109" s="3">
        <v>209.2</v>
      </c>
      <c r="J109">
        <v>2</v>
      </c>
      <c r="K109" s="4">
        <f t="shared" si="2"/>
        <v>1331.5299999999997</v>
      </c>
      <c r="L109" s="5">
        <f t="shared" si="3"/>
        <v>0.23440943883838344</v>
      </c>
      <c r="M109" s="4"/>
    </row>
    <row r="110" spans="1:13" x14ac:dyDescent="0.3">
      <c r="A110" t="s">
        <v>229</v>
      </c>
      <c r="B110" t="s">
        <v>230</v>
      </c>
      <c r="C110" t="s">
        <v>12</v>
      </c>
      <c r="D110" t="s">
        <v>13</v>
      </c>
      <c r="E110" t="s">
        <v>38</v>
      </c>
      <c r="F110" t="s">
        <v>15</v>
      </c>
      <c r="G110" s="3">
        <v>8681.74</v>
      </c>
      <c r="H110" s="3">
        <v>4576.21</v>
      </c>
      <c r="I110" s="3">
        <v>54.59</v>
      </c>
      <c r="J110">
        <v>2</v>
      </c>
      <c r="K110" s="4">
        <f t="shared" si="2"/>
        <v>4105.53</v>
      </c>
      <c r="L110" s="5">
        <f t="shared" si="3"/>
        <v>0.47289253075996285</v>
      </c>
      <c r="M110" s="4"/>
    </row>
    <row r="111" spans="1:13" x14ac:dyDescent="0.3">
      <c r="A111" t="s">
        <v>231</v>
      </c>
      <c r="B111" t="s">
        <v>169</v>
      </c>
      <c r="C111" t="s">
        <v>12</v>
      </c>
      <c r="D111" t="s">
        <v>22</v>
      </c>
      <c r="E111" t="s">
        <v>14</v>
      </c>
      <c r="F111" t="s">
        <v>15</v>
      </c>
      <c r="G111" s="3">
        <v>14329.5</v>
      </c>
      <c r="H111" s="3">
        <v>8034.51</v>
      </c>
      <c r="I111" s="3">
        <v>434.6</v>
      </c>
      <c r="J111">
        <v>5</v>
      </c>
      <c r="K111" s="4">
        <f t="shared" si="2"/>
        <v>6294.99</v>
      </c>
      <c r="L111" s="5">
        <f t="shared" si="3"/>
        <v>0.43930283680519205</v>
      </c>
      <c r="M111" s="4"/>
    </row>
    <row r="112" spans="1:13" x14ac:dyDescent="0.3">
      <c r="A112" t="s">
        <v>232</v>
      </c>
      <c r="B112" t="s">
        <v>233</v>
      </c>
      <c r="C112" t="s">
        <v>25</v>
      </c>
      <c r="D112" t="s">
        <v>30</v>
      </c>
      <c r="E112" t="s">
        <v>38</v>
      </c>
      <c r="F112" t="s">
        <v>15</v>
      </c>
      <c r="G112" s="3">
        <v>6545.28</v>
      </c>
      <c r="H112" s="3">
        <v>5354.74</v>
      </c>
      <c r="I112" s="3">
        <v>342.91</v>
      </c>
      <c r="J112">
        <v>4</v>
      </c>
      <c r="K112" s="4">
        <f t="shared" si="2"/>
        <v>1190.54</v>
      </c>
      <c r="L112" s="5">
        <f t="shared" si="3"/>
        <v>0.18189290603304978</v>
      </c>
      <c r="M112" s="4"/>
    </row>
    <row r="113" spans="1:13" x14ac:dyDescent="0.3">
      <c r="A113" t="s">
        <v>234</v>
      </c>
      <c r="B113" t="s">
        <v>74</v>
      </c>
      <c r="C113" t="s">
        <v>12</v>
      </c>
      <c r="D113" t="s">
        <v>35</v>
      </c>
      <c r="E113" t="s">
        <v>38</v>
      </c>
      <c r="F113" t="s">
        <v>20</v>
      </c>
      <c r="G113" s="3">
        <v>2975.78</v>
      </c>
      <c r="H113" s="3">
        <v>1510.12</v>
      </c>
      <c r="I113" s="3">
        <v>108.2</v>
      </c>
      <c r="J113">
        <v>2</v>
      </c>
      <c r="K113" s="4">
        <f t="shared" si="2"/>
        <v>1465.6600000000003</v>
      </c>
      <c r="L113" s="5">
        <f t="shared" si="3"/>
        <v>0.49252968969480276</v>
      </c>
      <c r="M113" s="4"/>
    </row>
    <row r="114" spans="1:13" x14ac:dyDescent="0.3">
      <c r="A114" t="s">
        <v>235</v>
      </c>
      <c r="B114" t="s">
        <v>236</v>
      </c>
      <c r="C114" t="s">
        <v>18</v>
      </c>
      <c r="D114" t="s">
        <v>46</v>
      </c>
      <c r="E114" t="s">
        <v>23</v>
      </c>
      <c r="F114" t="s">
        <v>20</v>
      </c>
      <c r="G114" s="3">
        <v>3712.6</v>
      </c>
      <c r="H114" s="3">
        <v>2427.75</v>
      </c>
      <c r="I114" s="3">
        <v>471.3</v>
      </c>
      <c r="J114">
        <v>2</v>
      </c>
      <c r="K114" s="4">
        <f t="shared" si="2"/>
        <v>1284.8499999999999</v>
      </c>
      <c r="L114" s="5">
        <f t="shared" si="3"/>
        <v>0.34607822011528305</v>
      </c>
      <c r="M114" s="4"/>
    </row>
    <row r="115" spans="1:13" x14ac:dyDescent="0.3">
      <c r="A115" t="s">
        <v>237</v>
      </c>
      <c r="B115" t="s">
        <v>238</v>
      </c>
      <c r="C115" t="s">
        <v>18</v>
      </c>
      <c r="D115" t="s">
        <v>55</v>
      </c>
      <c r="E115" t="s">
        <v>38</v>
      </c>
      <c r="F115" t="s">
        <v>15</v>
      </c>
      <c r="G115" s="3">
        <v>2347.37</v>
      </c>
      <c r="H115" s="3">
        <v>1811.55</v>
      </c>
      <c r="I115" s="3">
        <v>434.69</v>
      </c>
      <c r="J115">
        <v>1</v>
      </c>
      <c r="K115" s="4">
        <f t="shared" si="2"/>
        <v>535.81999999999994</v>
      </c>
      <c r="L115" s="5">
        <f t="shared" si="3"/>
        <v>0.22826397201974974</v>
      </c>
      <c r="M115" s="4"/>
    </row>
    <row r="116" spans="1:13" x14ac:dyDescent="0.3">
      <c r="A116" t="s">
        <v>239</v>
      </c>
      <c r="B116" t="s">
        <v>240</v>
      </c>
      <c r="C116" t="s">
        <v>12</v>
      </c>
      <c r="D116" t="s">
        <v>13</v>
      </c>
      <c r="E116" t="s">
        <v>38</v>
      </c>
      <c r="F116" t="s">
        <v>15</v>
      </c>
      <c r="G116" s="3">
        <v>7892.68</v>
      </c>
      <c r="H116" s="3">
        <v>5886.6</v>
      </c>
      <c r="I116" s="3">
        <v>431.22</v>
      </c>
      <c r="J116">
        <v>2</v>
      </c>
      <c r="K116" s="4">
        <f t="shared" si="2"/>
        <v>2006.08</v>
      </c>
      <c r="L116" s="5">
        <f t="shared" si="3"/>
        <v>0.25416968634228171</v>
      </c>
      <c r="M116" s="4"/>
    </row>
    <row r="117" spans="1:13" x14ac:dyDescent="0.3">
      <c r="A117" t="s">
        <v>241</v>
      </c>
      <c r="B117" t="s">
        <v>242</v>
      </c>
      <c r="C117" t="s">
        <v>25</v>
      </c>
      <c r="D117" t="s">
        <v>26</v>
      </c>
      <c r="E117" t="s">
        <v>23</v>
      </c>
      <c r="F117" t="s">
        <v>20</v>
      </c>
      <c r="G117" s="3">
        <v>10235.64</v>
      </c>
      <c r="H117" s="3">
        <v>6982.58</v>
      </c>
      <c r="I117" s="3">
        <v>445.39</v>
      </c>
      <c r="J117">
        <v>4</v>
      </c>
      <c r="K117" s="4">
        <f t="shared" si="2"/>
        <v>3253.0599999999995</v>
      </c>
      <c r="L117" s="5">
        <f t="shared" si="3"/>
        <v>0.31781696112798025</v>
      </c>
      <c r="M117" s="4"/>
    </row>
    <row r="118" spans="1:13" x14ac:dyDescent="0.3">
      <c r="A118" t="s">
        <v>243</v>
      </c>
      <c r="B118" t="s">
        <v>169</v>
      </c>
      <c r="C118" t="s">
        <v>18</v>
      </c>
      <c r="D118" t="s">
        <v>46</v>
      </c>
      <c r="E118" t="s">
        <v>14</v>
      </c>
      <c r="F118" t="s">
        <v>20</v>
      </c>
      <c r="G118" s="3">
        <v>22436.2</v>
      </c>
      <c r="H118" s="3">
        <v>16947.259999999998</v>
      </c>
      <c r="I118" s="3">
        <v>322.37</v>
      </c>
      <c r="J118">
        <v>5</v>
      </c>
      <c r="K118" s="4">
        <f t="shared" si="2"/>
        <v>5488.9400000000023</v>
      </c>
      <c r="L118" s="5">
        <f t="shared" si="3"/>
        <v>0.24464659790873686</v>
      </c>
      <c r="M118" s="4"/>
    </row>
    <row r="119" spans="1:13" x14ac:dyDescent="0.3">
      <c r="A119" t="s">
        <v>244</v>
      </c>
      <c r="B119" t="s">
        <v>245</v>
      </c>
      <c r="C119" t="s">
        <v>12</v>
      </c>
      <c r="D119" t="s">
        <v>35</v>
      </c>
      <c r="E119" t="s">
        <v>38</v>
      </c>
      <c r="F119" t="s">
        <v>20</v>
      </c>
      <c r="G119" s="3">
        <v>9524.7000000000007</v>
      </c>
      <c r="H119" s="3">
        <v>5854.67</v>
      </c>
      <c r="I119" s="3">
        <v>207.07</v>
      </c>
      <c r="J119">
        <v>3</v>
      </c>
      <c r="K119" s="4">
        <f t="shared" si="2"/>
        <v>3670.0300000000007</v>
      </c>
      <c r="L119" s="5">
        <f t="shared" si="3"/>
        <v>0.38531712284901365</v>
      </c>
      <c r="M119" s="4"/>
    </row>
    <row r="120" spans="1:13" x14ac:dyDescent="0.3">
      <c r="A120" t="s">
        <v>246</v>
      </c>
      <c r="B120" t="s">
        <v>247</v>
      </c>
      <c r="C120" t="s">
        <v>25</v>
      </c>
      <c r="D120" t="s">
        <v>26</v>
      </c>
      <c r="E120" t="s">
        <v>38</v>
      </c>
      <c r="F120" t="s">
        <v>15</v>
      </c>
      <c r="G120" s="3">
        <v>3125.8</v>
      </c>
      <c r="H120" s="3">
        <v>1693.32</v>
      </c>
      <c r="I120" s="3">
        <v>50.13</v>
      </c>
      <c r="J120">
        <v>5</v>
      </c>
      <c r="K120" s="4">
        <f t="shared" si="2"/>
        <v>1432.4800000000002</v>
      </c>
      <c r="L120" s="5">
        <f t="shared" si="3"/>
        <v>0.45827628127199443</v>
      </c>
      <c r="M120" s="4"/>
    </row>
    <row r="121" spans="1:13" x14ac:dyDescent="0.3">
      <c r="A121" t="s">
        <v>248</v>
      </c>
      <c r="B121" t="s">
        <v>249</v>
      </c>
      <c r="C121" t="s">
        <v>12</v>
      </c>
      <c r="D121" t="s">
        <v>22</v>
      </c>
      <c r="E121" t="s">
        <v>14</v>
      </c>
      <c r="F121" t="s">
        <v>20</v>
      </c>
      <c r="G121" s="3">
        <v>2404.0500000000002</v>
      </c>
      <c r="H121" s="3">
        <v>1493.87</v>
      </c>
      <c r="I121" s="3">
        <v>483.93</v>
      </c>
      <c r="J121">
        <v>1</v>
      </c>
      <c r="K121" s="4">
        <f t="shared" si="2"/>
        <v>910.18000000000029</v>
      </c>
      <c r="L121" s="5">
        <f t="shared" si="3"/>
        <v>0.37860277448472379</v>
      </c>
      <c r="M121" s="4"/>
    </row>
    <row r="122" spans="1:13" x14ac:dyDescent="0.3">
      <c r="A122" t="s">
        <v>250</v>
      </c>
      <c r="B122" t="s">
        <v>251</v>
      </c>
      <c r="C122" t="s">
        <v>25</v>
      </c>
      <c r="D122" t="s">
        <v>30</v>
      </c>
      <c r="E122" t="s">
        <v>23</v>
      </c>
      <c r="F122" t="s">
        <v>20</v>
      </c>
      <c r="G122" s="3">
        <v>20482.150000000001</v>
      </c>
      <c r="H122" s="3">
        <v>10327.17</v>
      </c>
      <c r="I122" s="3">
        <v>490.86</v>
      </c>
      <c r="J122">
        <v>5</v>
      </c>
      <c r="K122" s="4">
        <f t="shared" si="2"/>
        <v>10154.980000000001</v>
      </c>
      <c r="L122" s="5">
        <f t="shared" si="3"/>
        <v>0.49579658385472231</v>
      </c>
      <c r="M122" s="4"/>
    </row>
    <row r="123" spans="1:13" x14ac:dyDescent="0.3">
      <c r="A123" t="s">
        <v>252</v>
      </c>
      <c r="B123" t="s">
        <v>161</v>
      </c>
      <c r="C123" t="s">
        <v>12</v>
      </c>
      <c r="D123" t="s">
        <v>13</v>
      </c>
      <c r="E123" t="s">
        <v>14</v>
      </c>
      <c r="F123" t="s">
        <v>15</v>
      </c>
      <c r="G123" s="3">
        <v>8096.2</v>
      </c>
      <c r="H123" s="3">
        <v>5670.94</v>
      </c>
      <c r="I123" s="3">
        <v>410.93</v>
      </c>
      <c r="J123">
        <v>4</v>
      </c>
      <c r="K123" s="4">
        <f t="shared" si="2"/>
        <v>2425.2600000000002</v>
      </c>
      <c r="L123" s="5">
        <f t="shared" si="3"/>
        <v>0.29955534695289149</v>
      </c>
      <c r="M123" s="4"/>
    </row>
    <row r="124" spans="1:13" x14ac:dyDescent="0.3">
      <c r="A124" t="s">
        <v>253</v>
      </c>
      <c r="B124" t="s">
        <v>34</v>
      </c>
      <c r="C124" t="s">
        <v>18</v>
      </c>
      <c r="D124" t="s">
        <v>55</v>
      </c>
      <c r="E124" t="s">
        <v>14</v>
      </c>
      <c r="F124" t="s">
        <v>15</v>
      </c>
      <c r="G124" s="3">
        <v>17509.28</v>
      </c>
      <c r="H124" s="3">
        <v>9827.67</v>
      </c>
      <c r="I124" s="3">
        <v>444.17</v>
      </c>
      <c r="J124">
        <v>4</v>
      </c>
      <c r="K124" s="4">
        <f t="shared" si="2"/>
        <v>7681.6099999999988</v>
      </c>
      <c r="L124" s="5">
        <f t="shared" si="3"/>
        <v>0.43871649776575616</v>
      </c>
      <c r="M124" s="4"/>
    </row>
    <row r="125" spans="1:13" x14ac:dyDescent="0.3">
      <c r="A125" t="s">
        <v>254</v>
      </c>
      <c r="B125" t="s">
        <v>255</v>
      </c>
      <c r="C125" t="s">
        <v>18</v>
      </c>
      <c r="D125" t="s">
        <v>60</v>
      </c>
      <c r="E125" t="s">
        <v>23</v>
      </c>
      <c r="F125" t="s">
        <v>15</v>
      </c>
      <c r="G125" s="3">
        <v>4880.9799999999996</v>
      </c>
      <c r="H125" s="3">
        <v>3163.02</v>
      </c>
      <c r="I125" s="3">
        <v>455.01</v>
      </c>
      <c r="J125">
        <v>2</v>
      </c>
      <c r="K125" s="4">
        <f t="shared" si="2"/>
        <v>1717.9599999999996</v>
      </c>
      <c r="L125" s="5">
        <f t="shared" si="3"/>
        <v>0.35197030104610133</v>
      </c>
      <c r="M125" s="4"/>
    </row>
    <row r="126" spans="1:13" x14ac:dyDescent="0.3">
      <c r="A126" t="s">
        <v>256</v>
      </c>
      <c r="B126" t="s">
        <v>257</v>
      </c>
      <c r="C126" t="s">
        <v>12</v>
      </c>
      <c r="D126" t="s">
        <v>35</v>
      </c>
      <c r="E126" t="s">
        <v>38</v>
      </c>
      <c r="F126" t="s">
        <v>15</v>
      </c>
      <c r="G126" s="3">
        <v>5109.3</v>
      </c>
      <c r="H126" s="3">
        <v>4157.29</v>
      </c>
      <c r="I126" s="3">
        <v>251.69</v>
      </c>
      <c r="J126">
        <v>5</v>
      </c>
      <c r="K126" s="4">
        <f t="shared" si="2"/>
        <v>952.01000000000022</v>
      </c>
      <c r="L126" s="5">
        <f t="shared" si="3"/>
        <v>0.18632885131035568</v>
      </c>
      <c r="M126" s="4"/>
    </row>
    <row r="127" spans="1:13" x14ac:dyDescent="0.3">
      <c r="A127" t="s">
        <v>258</v>
      </c>
      <c r="B127" t="s">
        <v>259</v>
      </c>
      <c r="C127" t="s">
        <v>25</v>
      </c>
      <c r="D127" t="s">
        <v>26</v>
      </c>
      <c r="E127" t="s">
        <v>38</v>
      </c>
      <c r="F127" t="s">
        <v>15</v>
      </c>
      <c r="G127" s="3">
        <v>6926.79</v>
      </c>
      <c r="H127" s="3">
        <v>4921.6499999999996</v>
      </c>
      <c r="I127" s="3">
        <v>92.54</v>
      </c>
      <c r="J127">
        <v>3</v>
      </c>
      <c r="K127" s="4">
        <f t="shared" si="2"/>
        <v>2005.1400000000003</v>
      </c>
      <c r="L127" s="5">
        <f t="shared" si="3"/>
        <v>0.28947607766367978</v>
      </c>
      <c r="M127" s="4"/>
    </row>
    <row r="128" spans="1:13" x14ac:dyDescent="0.3">
      <c r="A128" t="s">
        <v>260</v>
      </c>
      <c r="B128" t="s">
        <v>233</v>
      </c>
      <c r="C128" t="s">
        <v>12</v>
      </c>
      <c r="D128" t="s">
        <v>22</v>
      </c>
      <c r="E128" t="s">
        <v>23</v>
      </c>
      <c r="F128" t="s">
        <v>15</v>
      </c>
      <c r="G128" s="3">
        <v>23458.45</v>
      </c>
      <c r="H128" s="3">
        <v>15549.05</v>
      </c>
      <c r="I128" s="3">
        <v>498.47</v>
      </c>
      <c r="J128">
        <v>5</v>
      </c>
      <c r="K128" s="4">
        <f t="shared" si="2"/>
        <v>7909.4000000000015</v>
      </c>
      <c r="L128" s="5">
        <f t="shared" si="3"/>
        <v>0.33716635157054287</v>
      </c>
      <c r="M128" s="4"/>
    </row>
    <row r="129" spans="1:13" x14ac:dyDescent="0.3">
      <c r="A129" t="s">
        <v>261</v>
      </c>
      <c r="B129" t="s">
        <v>262</v>
      </c>
      <c r="C129" t="s">
        <v>12</v>
      </c>
      <c r="D129" t="s">
        <v>35</v>
      </c>
      <c r="E129" t="s">
        <v>14</v>
      </c>
      <c r="F129" t="s">
        <v>20</v>
      </c>
      <c r="G129" s="3">
        <v>9765.2999999999993</v>
      </c>
      <c r="H129" s="3">
        <v>7231.76</v>
      </c>
      <c r="I129" s="3">
        <v>305.64999999999998</v>
      </c>
      <c r="J129">
        <v>2</v>
      </c>
      <c r="K129" s="4">
        <f t="shared" si="2"/>
        <v>2533.5399999999991</v>
      </c>
      <c r="L129" s="5">
        <f t="shared" si="3"/>
        <v>0.2594431302673752</v>
      </c>
      <c r="M129" s="4"/>
    </row>
    <row r="130" spans="1:13" x14ac:dyDescent="0.3">
      <c r="A130" t="s">
        <v>263</v>
      </c>
      <c r="B130" t="s">
        <v>264</v>
      </c>
      <c r="C130" t="s">
        <v>18</v>
      </c>
      <c r="D130" t="s">
        <v>55</v>
      </c>
      <c r="E130" t="s">
        <v>38</v>
      </c>
      <c r="F130" t="s">
        <v>15</v>
      </c>
      <c r="G130" s="3">
        <v>14658.66</v>
      </c>
      <c r="H130" s="3">
        <v>8791.08</v>
      </c>
      <c r="I130" s="3">
        <v>186.04</v>
      </c>
      <c r="J130">
        <v>3</v>
      </c>
      <c r="K130" s="4">
        <f t="shared" si="2"/>
        <v>5867.58</v>
      </c>
      <c r="L130" s="5">
        <f t="shared" si="3"/>
        <v>0.40028078964925851</v>
      </c>
      <c r="M130" s="4"/>
    </row>
    <row r="131" spans="1:13" x14ac:dyDescent="0.3">
      <c r="A131" t="s">
        <v>265</v>
      </c>
      <c r="B131" t="s">
        <v>266</v>
      </c>
      <c r="C131" t="s">
        <v>12</v>
      </c>
      <c r="D131" t="s">
        <v>35</v>
      </c>
      <c r="E131" t="s">
        <v>23</v>
      </c>
      <c r="F131" t="s">
        <v>15</v>
      </c>
      <c r="G131" s="3">
        <v>9310.2800000000007</v>
      </c>
      <c r="H131" s="3">
        <v>5827.21</v>
      </c>
      <c r="I131" s="3">
        <v>494.01</v>
      </c>
      <c r="J131">
        <v>4</v>
      </c>
      <c r="K131" s="4">
        <f t="shared" ref="K131:K194" si="4">G131-H131</f>
        <v>3483.0700000000006</v>
      </c>
      <c r="L131" s="5">
        <f t="shared" ref="L131:L194" si="5">K131/G131</f>
        <v>0.37411012343345207</v>
      </c>
      <c r="M131" s="4"/>
    </row>
    <row r="132" spans="1:13" x14ac:dyDescent="0.3">
      <c r="A132" t="s">
        <v>267</v>
      </c>
      <c r="B132" t="s">
        <v>136</v>
      </c>
      <c r="C132" t="s">
        <v>12</v>
      </c>
      <c r="D132" t="s">
        <v>13</v>
      </c>
      <c r="E132" t="s">
        <v>23</v>
      </c>
      <c r="F132" t="s">
        <v>20</v>
      </c>
      <c r="G132" s="3">
        <v>5737.8</v>
      </c>
      <c r="H132" s="3">
        <v>4379.3999999999996</v>
      </c>
      <c r="I132" s="3">
        <v>254.77</v>
      </c>
      <c r="J132">
        <v>2</v>
      </c>
      <c r="K132" s="4">
        <f t="shared" si="4"/>
        <v>1358.4000000000005</v>
      </c>
      <c r="L132" s="5">
        <f t="shared" si="5"/>
        <v>0.23674579106974808</v>
      </c>
      <c r="M132" s="4"/>
    </row>
    <row r="133" spans="1:13" x14ac:dyDescent="0.3">
      <c r="A133" t="s">
        <v>268</v>
      </c>
      <c r="B133" t="s">
        <v>89</v>
      </c>
      <c r="C133" t="s">
        <v>25</v>
      </c>
      <c r="D133" t="s">
        <v>30</v>
      </c>
      <c r="E133" t="s">
        <v>14</v>
      </c>
      <c r="F133" t="s">
        <v>20</v>
      </c>
      <c r="G133" s="3">
        <v>2782.6</v>
      </c>
      <c r="H133" s="3">
        <v>2066.4</v>
      </c>
      <c r="I133" s="3">
        <v>335.26</v>
      </c>
      <c r="J133">
        <v>1</v>
      </c>
      <c r="K133" s="4">
        <f t="shared" si="4"/>
        <v>716.19999999999982</v>
      </c>
      <c r="L133" s="5">
        <f t="shared" si="5"/>
        <v>0.25738517932868532</v>
      </c>
      <c r="M133" s="4"/>
    </row>
    <row r="134" spans="1:13" x14ac:dyDescent="0.3">
      <c r="A134" t="s">
        <v>269</v>
      </c>
      <c r="B134" t="s">
        <v>270</v>
      </c>
      <c r="C134" t="s">
        <v>25</v>
      </c>
      <c r="D134" t="s">
        <v>43</v>
      </c>
      <c r="E134" t="s">
        <v>14</v>
      </c>
      <c r="F134" t="s">
        <v>15</v>
      </c>
      <c r="G134" s="3">
        <v>22157.55</v>
      </c>
      <c r="H134" s="3">
        <v>12372.45</v>
      </c>
      <c r="I134" s="3">
        <v>305.02</v>
      </c>
      <c r="J134">
        <v>5</v>
      </c>
      <c r="K134" s="4">
        <f t="shared" si="4"/>
        <v>9785.0999999999985</v>
      </c>
      <c r="L134" s="5">
        <f t="shared" si="5"/>
        <v>0.44161470920747098</v>
      </c>
      <c r="M134" s="4"/>
    </row>
    <row r="135" spans="1:13" x14ac:dyDescent="0.3">
      <c r="A135" t="s">
        <v>271</v>
      </c>
      <c r="B135" t="s">
        <v>272</v>
      </c>
      <c r="C135" t="s">
        <v>25</v>
      </c>
      <c r="D135" t="s">
        <v>30</v>
      </c>
      <c r="E135" t="s">
        <v>14</v>
      </c>
      <c r="F135" t="s">
        <v>20</v>
      </c>
      <c r="G135" s="3">
        <v>9389.85</v>
      </c>
      <c r="H135" s="3">
        <v>6865.44</v>
      </c>
      <c r="I135" s="3">
        <v>213.11</v>
      </c>
      <c r="J135">
        <v>3</v>
      </c>
      <c r="K135" s="4">
        <f t="shared" si="4"/>
        <v>2524.4100000000008</v>
      </c>
      <c r="L135" s="5">
        <f t="shared" si="5"/>
        <v>0.26884455023243192</v>
      </c>
      <c r="M135" s="4"/>
    </row>
    <row r="136" spans="1:13" x14ac:dyDescent="0.3">
      <c r="A136" t="s">
        <v>273</v>
      </c>
      <c r="B136" t="s">
        <v>274</v>
      </c>
      <c r="C136" t="s">
        <v>12</v>
      </c>
      <c r="D136" t="s">
        <v>13</v>
      </c>
      <c r="E136" t="s">
        <v>14</v>
      </c>
      <c r="F136" t="s">
        <v>15</v>
      </c>
      <c r="G136" s="3">
        <v>4082.5</v>
      </c>
      <c r="H136" s="3">
        <v>2695.9</v>
      </c>
      <c r="I136" s="3">
        <v>154.91999999999999</v>
      </c>
      <c r="J136">
        <v>2</v>
      </c>
      <c r="K136" s="4">
        <f t="shared" si="4"/>
        <v>1386.6</v>
      </c>
      <c r="L136" s="5">
        <f t="shared" si="5"/>
        <v>0.33964482547458663</v>
      </c>
      <c r="M136" s="4"/>
    </row>
    <row r="137" spans="1:13" x14ac:dyDescent="0.3">
      <c r="A137" t="s">
        <v>275</v>
      </c>
      <c r="B137" t="s">
        <v>194</v>
      </c>
      <c r="C137" t="s">
        <v>12</v>
      </c>
      <c r="D137" t="s">
        <v>13</v>
      </c>
      <c r="E137" t="s">
        <v>27</v>
      </c>
      <c r="F137" t="s">
        <v>15</v>
      </c>
      <c r="G137" s="3">
        <v>9595.9500000000007</v>
      </c>
      <c r="H137" s="3">
        <v>6705.06</v>
      </c>
      <c r="I137" s="3">
        <v>242.81</v>
      </c>
      <c r="J137">
        <v>5</v>
      </c>
      <c r="K137" s="4">
        <f t="shared" si="4"/>
        <v>2890.8900000000003</v>
      </c>
      <c r="L137" s="5">
        <f t="shared" si="5"/>
        <v>0.30126146968252232</v>
      </c>
      <c r="M137" s="4"/>
    </row>
    <row r="138" spans="1:13" x14ac:dyDescent="0.3">
      <c r="A138" t="s">
        <v>276</v>
      </c>
      <c r="B138" t="s">
        <v>93</v>
      </c>
      <c r="C138" t="s">
        <v>25</v>
      </c>
      <c r="D138" t="s">
        <v>30</v>
      </c>
      <c r="E138" t="s">
        <v>38</v>
      </c>
      <c r="F138" t="s">
        <v>15</v>
      </c>
      <c r="G138" s="3">
        <v>6721.84</v>
      </c>
      <c r="H138" s="3">
        <v>3819.45</v>
      </c>
      <c r="I138" s="3">
        <v>378.24</v>
      </c>
      <c r="J138">
        <v>2</v>
      </c>
      <c r="K138" s="4">
        <f t="shared" si="4"/>
        <v>2902.3900000000003</v>
      </c>
      <c r="L138" s="5">
        <f t="shared" si="5"/>
        <v>0.43178504695143</v>
      </c>
      <c r="M138" s="4"/>
    </row>
    <row r="139" spans="1:13" x14ac:dyDescent="0.3">
      <c r="A139" t="s">
        <v>277</v>
      </c>
      <c r="B139" t="s">
        <v>278</v>
      </c>
      <c r="C139" t="s">
        <v>25</v>
      </c>
      <c r="D139" t="s">
        <v>30</v>
      </c>
      <c r="E139" t="s">
        <v>23</v>
      </c>
      <c r="F139" t="s">
        <v>20</v>
      </c>
      <c r="G139" s="3">
        <v>2151.6999999999998</v>
      </c>
      <c r="H139" s="3">
        <v>1637.08</v>
      </c>
      <c r="I139" s="3">
        <v>460.66</v>
      </c>
      <c r="J139">
        <v>2</v>
      </c>
      <c r="K139" s="4">
        <f t="shared" si="4"/>
        <v>514.61999999999989</v>
      </c>
      <c r="L139" s="5">
        <f t="shared" si="5"/>
        <v>0.23916902913974994</v>
      </c>
      <c r="M139" s="4"/>
    </row>
    <row r="140" spans="1:13" x14ac:dyDescent="0.3">
      <c r="A140" t="s">
        <v>279</v>
      </c>
      <c r="B140" t="s">
        <v>280</v>
      </c>
      <c r="C140" t="s">
        <v>12</v>
      </c>
      <c r="D140" t="s">
        <v>22</v>
      </c>
      <c r="E140" t="s">
        <v>38</v>
      </c>
      <c r="F140" t="s">
        <v>20</v>
      </c>
      <c r="G140" s="3">
        <v>3294.15</v>
      </c>
      <c r="H140" s="3">
        <v>2320.73</v>
      </c>
      <c r="I140" s="3">
        <v>451</v>
      </c>
      <c r="J140">
        <v>3</v>
      </c>
      <c r="K140" s="4">
        <f t="shared" si="4"/>
        <v>973.42000000000007</v>
      </c>
      <c r="L140" s="5">
        <f t="shared" si="5"/>
        <v>0.29549959777180762</v>
      </c>
      <c r="M140" s="4"/>
    </row>
    <row r="141" spans="1:13" x14ac:dyDescent="0.3">
      <c r="A141" t="s">
        <v>281</v>
      </c>
      <c r="B141" t="s">
        <v>282</v>
      </c>
      <c r="C141" t="s">
        <v>25</v>
      </c>
      <c r="D141" t="s">
        <v>26</v>
      </c>
      <c r="E141" t="s">
        <v>23</v>
      </c>
      <c r="F141" t="s">
        <v>20</v>
      </c>
      <c r="G141" s="3">
        <v>6297.2</v>
      </c>
      <c r="H141" s="3">
        <v>4220.5200000000004</v>
      </c>
      <c r="I141" s="3">
        <v>176.84</v>
      </c>
      <c r="J141">
        <v>5</v>
      </c>
      <c r="K141" s="4">
        <f t="shared" si="4"/>
        <v>2076.6799999999994</v>
      </c>
      <c r="L141" s="5">
        <f t="shared" si="5"/>
        <v>0.32977831417137765</v>
      </c>
      <c r="M141" s="4"/>
    </row>
    <row r="142" spans="1:13" x14ac:dyDescent="0.3">
      <c r="A142" t="s">
        <v>283</v>
      </c>
      <c r="B142" t="s">
        <v>110</v>
      </c>
      <c r="C142" t="s">
        <v>25</v>
      </c>
      <c r="D142" t="s">
        <v>30</v>
      </c>
      <c r="E142" t="s">
        <v>27</v>
      </c>
      <c r="F142" t="s">
        <v>15</v>
      </c>
      <c r="G142" s="3">
        <v>16592.349999999999</v>
      </c>
      <c r="H142" s="3">
        <v>11152.03</v>
      </c>
      <c r="I142" s="3">
        <v>316.18</v>
      </c>
      <c r="J142">
        <v>5</v>
      </c>
      <c r="K142" s="4">
        <f t="shared" si="4"/>
        <v>5440.3199999999979</v>
      </c>
      <c r="L142" s="5">
        <f t="shared" si="5"/>
        <v>0.32788122237055017</v>
      </c>
      <c r="M142" s="4"/>
    </row>
    <row r="143" spans="1:13" x14ac:dyDescent="0.3">
      <c r="A143" t="s">
        <v>284</v>
      </c>
      <c r="B143" t="s">
        <v>285</v>
      </c>
      <c r="C143" t="s">
        <v>12</v>
      </c>
      <c r="D143" t="s">
        <v>22</v>
      </c>
      <c r="E143" t="s">
        <v>38</v>
      </c>
      <c r="F143" t="s">
        <v>15</v>
      </c>
      <c r="G143" s="3">
        <v>674.69</v>
      </c>
      <c r="H143" s="3">
        <v>394.61</v>
      </c>
      <c r="I143" s="3">
        <v>121.02</v>
      </c>
      <c r="J143">
        <v>1</v>
      </c>
      <c r="K143" s="4">
        <f t="shared" si="4"/>
        <v>280.08000000000004</v>
      </c>
      <c r="L143" s="5">
        <f t="shared" si="5"/>
        <v>0.41512398286620522</v>
      </c>
      <c r="M143" s="4"/>
    </row>
    <row r="144" spans="1:13" x14ac:dyDescent="0.3">
      <c r="A144" t="s">
        <v>286</v>
      </c>
      <c r="B144" t="s">
        <v>167</v>
      </c>
      <c r="C144" t="s">
        <v>12</v>
      </c>
      <c r="D144" t="s">
        <v>22</v>
      </c>
      <c r="E144" t="s">
        <v>38</v>
      </c>
      <c r="F144" t="s">
        <v>20</v>
      </c>
      <c r="G144" s="3">
        <v>1419.78</v>
      </c>
      <c r="H144" s="3">
        <v>849.95</v>
      </c>
      <c r="I144" s="3">
        <v>262.92</v>
      </c>
      <c r="J144">
        <v>1</v>
      </c>
      <c r="K144" s="4">
        <f t="shared" si="4"/>
        <v>569.82999999999993</v>
      </c>
      <c r="L144" s="5">
        <f t="shared" si="5"/>
        <v>0.40135091352181318</v>
      </c>
      <c r="M144" s="4"/>
    </row>
    <row r="145" spans="1:13" x14ac:dyDescent="0.3">
      <c r="A145" t="s">
        <v>287</v>
      </c>
      <c r="B145" t="s">
        <v>288</v>
      </c>
      <c r="C145" t="s">
        <v>12</v>
      </c>
      <c r="D145" t="s">
        <v>35</v>
      </c>
      <c r="E145" t="s">
        <v>38</v>
      </c>
      <c r="F145" t="s">
        <v>15</v>
      </c>
      <c r="G145" s="3">
        <v>2999.25</v>
      </c>
      <c r="H145" s="3">
        <v>2307.61</v>
      </c>
      <c r="I145" s="3">
        <v>215.12</v>
      </c>
      <c r="J145">
        <v>5</v>
      </c>
      <c r="K145" s="4">
        <f t="shared" si="4"/>
        <v>691.63999999999987</v>
      </c>
      <c r="L145" s="5">
        <f t="shared" si="5"/>
        <v>0.23060431774610315</v>
      </c>
      <c r="M145" s="4"/>
    </row>
    <row r="146" spans="1:13" x14ac:dyDescent="0.3">
      <c r="A146" t="s">
        <v>289</v>
      </c>
      <c r="B146" t="s">
        <v>290</v>
      </c>
      <c r="C146" t="s">
        <v>18</v>
      </c>
      <c r="D146" t="s">
        <v>60</v>
      </c>
      <c r="E146" t="s">
        <v>38</v>
      </c>
      <c r="F146" t="s">
        <v>20</v>
      </c>
      <c r="G146" s="3">
        <v>1097.04</v>
      </c>
      <c r="H146" s="3">
        <v>750.16</v>
      </c>
      <c r="I146" s="3">
        <v>439.82</v>
      </c>
      <c r="J146">
        <v>1</v>
      </c>
      <c r="K146" s="4">
        <f t="shared" si="4"/>
        <v>346.88</v>
      </c>
      <c r="L146" s="5">
        <f t="shared" si="5"/>
        <v>0.31619631007073579</v>
      </c>
      <c r="M146" s="4"/>
    </row>
    <row r="147" spans="1:13" x14ac:dyDescent="0.3">
      <c r="A147" t="s">
        <v>291</v>
      </c>
      <c r="B147" t="s">
        <v>292</v>
      </c>
      <c r="C147" t="s">
        <v>12</v>
      </c>
      <c r="D147" t="s">
        <v>13</v>
      </c>
      <c r="E147" t="s">
        <v>27</v>
      </c>
      <c r="F147" t="s">
        <v>20</v>
      </c>
      <c r="G147" s="3">
        <v>21717.25</v>
      </c>
      <c r="H147" s="3">
        <v>18177.5</v>
      </c>
      <c r="I147" s="3">
        <v>142.91</v>
      </c>
      <c r="J147">
        <v>5</v>
      </c>
      <c r="K147" s="4">
        <f t="shared" si="4"/>
        <v>3539.75</v>
      </c>
      <c r="L147" s="5">
        <f t="shared" si="5"/>
        <v>0.16299255200359161</v>
      </c>
      <c r="M147" s="4"/>
    </row>
    <row r="148" spans="1:13" x14ac:dyDescent="0.3">
      <c r="A148" t="s">
        <v>293</v>
      </c>
      <c r="B148" t="s">
        <v>159</v>
      </c>
      <c r="C148" t="s">
        <v>25</v>
      </c>
      <c r="D148" t="s">
        <v>43</v>
      </c>
      <c r="E148" t="s">
        <v>23</v>
      </c>
      <c r="F148" t="s">
        <v>15</v>
      </c>
      <c r="G148" s="3">
        <v>1603.41</v>
      </c>
      <c r="H148" s="3">
        <v>1329.26</v>
      </c>
      <c r="I148" s="3">
        <v>322.13</v>
      </c>
      <c r="J148">
        <v>1</v>
      </c>
      <c r="K148" s="4">
        <f t="shared" si="4"/>
        <v>274.15000000000009</v>
      </c>
      <c r="L148" s="5">
        <f t="shared" si="5"/>
        <v>0.17097935025975894</v>
      </c>
      <c r="M148" s="4"/>
    </row>
    <row r="149" spans="1:13" x14ac:dyDescent="0.3">
      <c r="A149" t="s">
        <v>294</v>
      </c>
      <c r="B149" t="s">
        <v>84</v>
      </c>
      <c r="C149" t="s">
        <v>12</v>
      </c>
      <c r="D149" t="s">
        <v>22</v>
      </c>
      <c r="E149" t="s">
        <v>23</v>
      </c>
      <c r="F149" t="s">
        <v>15</v>
      </c>
      <c r="G149" s="3">
        <v>6277.6</v>
      </c>
      <c r="H149" s="3">
        <v>4714.6899999999996</v>
      </c>
      <c r="I149" s="3">
        <v>69.5</v>
      </c>
      <c r="J149">
        <v>5</v>
      </c>
      <c r="K149" s="4">
        <f t="shared" si="4"/>
        <v>1562.9100000000008</v>
      </c>
      <c r="L149" s="5">
        <f t="shared" si="5"/>
        <v>0.24896616541353395</v>
      </c>
      <c r="M149" s="4"/>
    </row>
    <row r="150" spans="1:13" x14ac:dyDescent="0.3">
      <c r="A150" t="s">
        <v>295</v>
      </c>
      <c r="B150" t="s">
        <v>296</v>
      </c>
      <c r="C150" t="s">
        <v>12</v>
      </c>
      <c r="D150" t="s">
        <v>13</v>
      </c>
      <c r="E150" t="s">
        <v>38</v>
      </c>
      <c r="F150" t="s">
        <v>20</v>
      </c>
      <c r="G150" s="3">
        <v>2079.6999999999998</v>
      </c>
      <c r="H150" s="3">
        <v>1195.3900000000001</v>
      </c>
      <c r="I150" s="3">
        <v>237.93</v>
      </c>
      <c r="J150">
        <v>5</v>
      </c>
      <c r="K150" s="4">
        <f t="shared" si="4"/>
        <v>884.30999999999972</v>
      </c>
      <c r="L150" s="5">
        <f t="shared" si="5"/>
        <v>0.42521036687983832</v>
      </c>
      <c r="M150" s="4"/>
    </row>
    <row r="151" spans="1:13" x14ac:dyDescent="0.3">
      <c r="A151" t="s">
        <v>297</v>
      </c>
      <c r="B151" t="s">
        <v>298</v>
      </c>
      <c r="C151" t="s">
        <v>12</v>
      </c>
      <c r="D151" t="s">
        <v>35</v>
      </c>
      <c r="E151" t="s">
        <v>14</v>
      </c>
      <c r="F151" t="s">
        <v>20</v>
      </c>
      <c r="G151" s="3">
        <v>1992.54</v>
      </c>
      <c r="H151" s="3">
        <v>1523.12</v>
      </c>
      <c r="I151" s="3">
        <v>180.01</v>
      </c>
      <c r="J151">
        <v>1</v>
      </c>
      <c r="K151" s="4">
        <f t="shared" si="4"/>
        <v>469.42000000000007</v>
      </c>
      <c r="L151" s="5">
        <f t="shared" si="5"/>
        <v>0.23558874602266458</v>
      </c>
      <c r="M151" s="4"/>
    </row>
    <row r="152" spans="1:13" x14ac:dyDescent="0.3">
      <c r="A152" t="s">
        <v>299</v>
      </c>
      <c r="B152" t="s">
        <v>300</v>
      </c>
      <c r="C152" t="s">
        <v>18</v>
      </c>
      <c r="D152" t="s">
        <v>60</v>
      </c>
      <c r="E152" t="s">
        <v>14</v>
      </c>
      <c r="F152" t="s">
        <v>20</v>
      </c>
      <c r="G152" s="3">
        <v>9800.6</v>
      </c>
      <c r="H152" s="3">
        <v>6606.13</v>
      </c>
      <c r="I152" s="3">
        <v>144.26</v>
      </c>
      <c r="J152">
        <v>4</v>
      </c>
      <c r="K152" s="4">
        <f t="shared" si="4"/>
        <v>3194.4700000000003</v>
      </c>
      <c r="L152" s="5">
        <f t="shared" si="5"/>
        <v>0.32594637063036958</v>
      </c>
      <c r="M152" s="4"/>
    </row>
    <row r="153" spans="1:13" x14ac:dyDescent="0.3">
      <c r="A153" t="s">
        <v>301</v>
      </c>
      <c r="B153" t="s">
        <v>302</v>
      </c>
      <c r="C153" t="s">
        <v>25</v>
      </c>
      <c r="D153" t="s">
        <v>30</v>
      </c>
      <c r="E153" t="s">
        <v>27</v>
      </c>
      <c r="F153" t="s">
        <v>20</v>
      </c>
      <c r="G153" s="3">
        <v>5365.89</v>
      </c>
      <c r="H153" s="3">
        <v>3295.9</v>
      </c>
      <c r="I153" s="3">
        <v>157</v>
      </c>
      <c r="J153">
        <v>3</v>
      </c>
      <c r="K153" s="4">
        <f t="shared" si="4"/>
        <v>2069.9900000000002</v>
      </c>
      <c r="L153" s="5">
        <f t="shared" si="5"/>
        <v>0.3857682509332096</v>
      </c>
      <c r="M153" s="4"/>
    </row>
    <row r="154" spans="1:13" x14ac:dyDescent="0.3">
      <c r="A154" t="s">
        <v>303</v>
      </c>
      <c r="B154" t="s">
        <v>194</v>
      </c>
      <c r="C154" t="s">
        <v>12</v>
      </c>
      <c r="D154" t="s">
        <v>13</v>
      </c>
      <c r="E154" t="s">
        <v>14</v>
      </c>
      <c r="F154" t="s">
        <v>20</v>
      </c>
      <c r="G154" s="3">
        <v>1573.12</v>
      </c>
      <c r="H154" s="3">
        <v>1061.17</v>
      </c>
      <c r="I154" s="3">
        <v>79.67</v>
      </c>
      <c r="J154">
        <v>2</v>
      </c>
      <c r="K154" s="4">
        <f t="shared" si="4"/>
        <v>511.94999999999982</v>
      </c>
      <c r="L154" s="5">
        <f t="shared" si="5"/>
        <v>0.3254360760781122</v>
      </c>
      <c r="M154" s="4"/>
    </row>
    <row r="155" spans="1:13" x14ac:dyDescent="0.3">
      <c r="A155" t="s">
        <v>304</v>
      </c>
      <c r="B155" t="s">
        <v>274</v>
      </c>
      <c r="C155" t="s">
        <v>18</v>
      </c>
      <c r="D155" t="s">
        <v>60</v>
      </c>
      <c r="E155" t="s">
        <v>14</v>
      </c>
      <c r="F155" t="s">
        <v>20</v>
      </c>
      <c r="G155" s="3">
        <v>7022.5</v>
      </c>
      <c r="H155" s="3">
        <v>4146.2</v>
      </c>
      <c r="I155" s="3">
        <v>319.39999999999998</v>
      </c>
      <c r="J155">
        <v>2</v>
      </c>
      <c r="K155" s="4">
        <f t="shared" si="4"/>
        <v>2876.3</v>
      </c>
      <c r="L155" s="5">
        <f t="shared" si="5"/>
        <v>0.40958348166607333</v>
      </c>
      <c r="M155" s="4"/>
    </row>
    <row r="156" spans="1:13" x14ac:dyDescent="0.3">
      <c r="A156" t="s">
        <v>305</v>
      </c>
      <c r="B156" t="s">
        <v>306</v>
      </c>
      <c r="C156" t="s">
        <v>18</v>
      </c>
      <c r="D156" t="s">
        <v>46</v>
      </c>
      <c r="E156" t="s">
        <v>23</v>
      </c>
      <c r="F156" t="s">
        <v>15</v>
      </c>
      <c r="G156" s="3">
        <v>8607.92</v>
      </c>
      <c r="H156" s="3">
        <v>6066.72</v>
      </c>
      <c r="I156" s="3">
        <v>72.11</v>
      </c>
      <c r="J156">
        <v>2</v>
      </c>
      <c r="K156" s="4">
        <f t="shared" si="4"/>
        <v>2541.1999999999998</v>
      </c>
      <c r="L156" s="5">
        <f t="shared" si="5"/>
        <v>0.29521649829459379</v>
      </c>
      <c r="M156" s="4"/>
    </row>
    <row r="157" spans="1:13" x14ac:dyDescent="0.3">
      <c r="A157" t="s">
        <v>307</v>
      </c>
      <c r="B157" t="s">
        <v>308</v>
      </c>
      <c r="C157" t="s">
        <v>25</v>
      </c>
      <c r="D157" t="s">
        <v>30</v>
      </c>
      <c r="E157" t="s">
        <v>14</v>
      </c>
      <c r="F157" t="s">
        <v>15</v>
      </c>
      <c r="G157" s="3">
        <v>4671.3999999999996</v>
      </c>
      <c r="H157" s="3">
        <v>3029.07</v>
      </c>
      <c r="I157" s="3">
        <v>323.27999999999997</v>
      </c>
      <c r="J157">
        <v>1</v>
      </c>
      <c r="K157" s="4">
        <f t="shared" si="4"/>
        <v>1642.3299999999995</v>
      </c>
      <c r="L157" s="5">
        <f t="shared" si="5"/>
        <v>0.35157126343280376</v>
      </c>
      <c r="M157" s="4"/>
    </row>
    <row r="158" spans="1:13" x14ac:dyDescent="0.3">
      <c r="A158" t="s">
        <v>309</v>
      </c>
      <c r="B158" t="s">
        <v>310</v>
      </c>
      <c r="C158" t="s">
        <v>25</v>
      </c>
      <c r="D158" t="s">
        <v>26</v>
      </c>
      <c r="E158" t="s">
        <v>14</v>
      </c>
      <c r="F158" t="s">
        <v>15</v>
      </c>
      <c r="G158" s="3">
        <v>6790.56</v>
      </c>
      <c r="H158" s="3">
        <v>4574.1400000000003</v>
      </c>
      <c r="I158" s="3">
        <v>246.71</v>
      </c>
      <c r="J158">
        <v>3</v>
      </c>
      <c r="K158" s="4">
        <f t="shared" si="4"/>
        <v>2216.42</v>
      </c>
      <c r="L158" s="5">
        <f t="shared" si="5"/>
        <v>0.32639723380693197</v>
      </c>
      <c r="M158" s="4"/>
    </row>
    <row r="159" spans="1:13" x14ac:dyDescent="0.3">
      <c r="A159" t="s">
        <v>311</v>
      </c>
      <c r="B159" t="s">
        <v>312</v>
      </c>
      <c r="C159" t="s">
        <v>25</v>
      </c>
      <c r="D159" t="s">
        <v>26</v>
      </c>
      <c r="E159" t="s">
        <v>23</v>
      </c>
      <c r="F159" t="s">
        <v>15</v>
      </c>
      <c r="G159" s="3">
        <v>6667.44</v>
      </c>
      <c r="H159" s="3">
        <v>4038.13</v>
      </c>
      <c r="I159" s="3">
        <v>374</v>
      </c>
      <c r="J159">
        <v>3</v>
      </c>
      <c r="K159" s="4">
        <f t="shared" si="4"/>
        <v>2629.3099999999995</v>
      </c>
      <c r="L159" s="5">
        <f t="shared" si="5"/>
        <v>0.39435075531238373</v>
      </c>
      <c r="M159" s="4"/>
    </row>
    <row r="160" spans="1:13" x14ac:dyDescent="0.3">
      <c r="A160" t="s">
        <v>313</v>
      </c>
      <c r="B160" t="s">
        <v>314</v>
      </c>
      <c r="C160" t="s">
        <v>25</v>
      </c>
      <c r="D160" t="s">
        <v>26</v>
      </c>
      <c r="E160" t="s">
        <v>23</v>
      </c>
      <c r="F160" t="s">
        <v>20</v>
      </c>
      <c r="G160" s="3">
        <v>8144.07</v>
      </c>
      <c r="H160" s="3">
        <v>5303.93</v>
      </c>
      <c r="I160" s="3">
        <v>255.33</v>
      </c>
      <c r="J160">
        <v>3</v>
      </c>
      <c r="K160" s="4">
        <f t="shared" si="4"/>
        <v>2840.1399999999994</v>
      </c>
      <c r="L160" s="5">
        <f t="shared" si="5"/>
        <v>0.34873717932188691</v>
      </c>
      <c r="M160" s="4"/>
    </row>
    <row r="161" spans="1:13" x14ac:dyDescent="0.3">
      <c r="A161" t="s">
        <v>315</v>
      </c>
      <c r="B161" t="s">
        <v>316</v>
      </c>
      <c r="C161" t="s">
        <v>12</v>
      </c>
      <c r="D161" t="s">
        <v>13</v>
      </c>
      <c r="E161" t="s">
        <v>23</v>
      </c>
      <c r="F161" t="s">
        <v>20</v>
      </c>
      <c r="G161" s="3">
        <v>1732.65</v>
      </c>
      <c r="H161" s="3">
        <v>1037.68</v>
      </c>
      <c r="I161" s="3">
        <v>470.54</v>
      </c>
      <c r="J161">
        <v>3</v>
      </c>
      <c r="K161" s="4">
        <f t="shared" si="4"/>
        <v>694.97</v>
      </c>
      <c r="L161" s="5">
        <f t="shared" si="5"/>
        <v>0.40110235766023145</v>
      </c>
      <c r="M161" s="4"/>
    </row>
    <row r="162" spans="1:13" x14ac:dyDescent="0.3">
      <c r="A162" t="s">
        <v>317</v>
      </c>
      <c r="B162" t="s">
        <v>210</v>
      </c>
      <c r="C162" t="s">
        <v>25</v>
      </c>
      <c r="D162" t="s">
        <v>26</v>
      </c>
      <c r="E162" t="s">
        <v>14</v>
      </c>
      <c r="F162" t="s">
        <v>15</v>
      </c>
      <c r="G162" s="3">
        <v>8311.14</v>
      </c>
      <c r="H162" s="3">
        <v>4543.08</v>
      </c>
      <c r="I162" s="3">
        <v>242.78</v>
      </c>
      <c r="J162">
        <v>2</v>
      </c>
      <c r="K162" s="4">
        <f t="shared" si="4"/>
        <v>3768.0599999999995</v>
      </c>
      <c r="L162" s="5">
        <f t="shared" si="5"/>
        <v>0.45337462730744515</v>
      </c>
      <c r="M162" s="4"/>
    </row>
    <row r="163" spans="1:13" x14ac:dyDescent="0.3">
      <c r="A163" t="s">
        <v>318</v>
      </c>
      <c r="B163" t="s">
        <v>319</v>
      </c>
      <c r="C163" t="s">
        <v>18</v>
      </c>
      <c r="D163" t="s">
        <v>55</v>
      </c>
      <c r="E163" t="s">
        <v>38</v>
      </c>
      <c r="F163" t="s">
        <v>15</v>
      </c>
      <c r="G163" s="3">
        <v>12139.41</v>
      </c>
      <c r="H163" s="3">
        <v>6730.75</v>
      </c>
      <c r="I163" s="3">
        <v>490.02</v>
      </c>
      <c r="J163">
        <v>3</v>
      </c>
      <c r="K163" s="4">
        <f t="shared" si="4"/>
        <v>5408.66</v>
      </c>
      <c r="L163" s="5">
        <f t="shared" si="5"/>
        <v>0.44554554134014751</v>
      </c>
      <c r="M163" s="4"/>
    </row>
    <row r="164" spans="1:13" x14ac:dyDescent="0.3">
      <c r="A164" t="s">
        <v>320</v>
      </c>
      <c r="B164" t="s">
        <v>312</v>
      </c>
      <c r="C164" t="s">
        <v>25</v>
      </c>
      <c r="D164" t="s">
        <v>26</v>
      </c>
      <c r="E164" t="s">
        <v>14</v>
      </c>
      <c r="F164" t="s">
        <v>20</v>
      </c>
      <c r="G164" s="3">
        <v>10022.799999999999</v>
      </c>
      <c r="H164" s="3">
        <v>5641.59</v>
      </c>
      <c r="I164" s="3">
        <v>161.19999999999999</v>
      </c>
      <c r="J164">
        <v>4</v>
      </c>
      <c r="K164" s="4">
        <f t="shared" si="4"/>
        <v>4381.2099999999991</v>
      </c>
      <c r="L164" s="5">
        <f t="shared" si="5"/>
        <v>0.43712435646725462</v>
      </c>
      <c r="M164" s="4"/>
    </row>
    <row r="165" spans="1:13" x14ac:dyDescent="0.3">
      <c r="A165" t="s">
        <v>321</v>
      </c>
      <c r="B165" t="s">
        <v>171</v>
      </c>
      <c r="C165" t="s">
        <v>12</v>
      </c>
      <c r="D165" t="s">
        <v>35</v>
      </c>
      <c r="E165" t="s">
        <v>38</v>
      </c>
      <c r="F165" t="s">
        <v>20</v>
      </c>
      <c r="G165" s="3">
        <v>17710.96</v>
      </c>
      <c r="H165" s="3">
        <v>12596.84</v>
      </c>
      <c r="I165" s="3">
        <v>411.09</v>
      </c>
      <c r="J165">
        <v>4</v>
      </c>
      <c r="K165" s="4">
        <f t="shared" si="4"/>
        <v>5114.119999999999</v>
      </c>
      <c r="L165" s="5">
        <f t="shared" si="5"/>
        <v>0.2887545339157222</v>
      </c>
      <c r="M165" s="4"/>
    </row>
    <row r="166" spans="1:13" x14ac:dyDescent="0.3">
      <c r="A166" t="s">
        <v>322</v>
      </c>
      <c r="B166" t="s">
        <v>323</v>
      </c>
      <c r="C166" t="s">
        <v>25</v>
      </c>
      <c r="D166" t="s">
        <v>43</v>
      </c>
      <c r="E166" t="s">
        <v>27</v>
      </c>
      <c r="F166" t="s">
        <v>20</v>
      </c>
      <c r="G166" s="3">
        <v>4733.38</v>
      </c>
      <c r="H166" s="3">
        <v>3600.14</v>
      </c>
      <c r="I166" s="3">
        <v>290.95999999999998</v>
      </c>
      <c r="J166">
        <v>1</v>
      </c>
      <c r="K166" s="4">
        <f t="shared" si="4"/>
        <v>1133.2400000000002</v>
      </c>
      <c r="L166" s="5">
        <f t="shared" si="5"/>
        <v>0.23941454098339879</v>
      </c>
      <c r="M166" s="4"/>
    </row>
    <row r="167" spans="1:13" x14ac:dyDescent="0.3">
      <c r="A167" t="s">
        <v>324</v>
      </c>
      <c r="B167" t="s">
        <v>325</v>
      </c>
      <c r="C167" t="s">
        <v>18</v>
      </c>
      <c r="D167" t="s">
        <v>19</v>
      </c>
      <c r="E167" t="s">
        <v>38</v>
      </c>
      <c r="F167" t="s">
        <v>20</v>
      </c>
      <c r="G167" s="3">
        <v>5639.97</v>
      </c>
      <c r="H167" s="3">
        <v>3697.68</v>
      </c>
      <c r="I167" s="3">
        <v>361.23</v>
      </c>
      <c r="J167">
        <v>3</v>
      </c>
      <c r="K167" s="4">
        <f t="shared" si="4"/>
        <v>1942.2900000000004</v>
      </c>
      <c r="L167" s="5">
        <f t="shared" si="5"/>
        <v>0.34437949138027335</v>
      </c>
      <c r="M167" s="4"/>
    </row>
    <row r="168" spans="1:13" x14ac:dyDescent="0.3">
      <c r="A168" t="s">
        <v>326</v>
      </c>
      <c r="B168" t="s">
        <v>327</v>
      </c>
      <c r="C168" t="s">
        <v>25</v>
      </c>
      <c r="D168" t="s">
        <v>43</v>
      </c>
      <c r="E168" t="s">
        <v>14</v>
      </c>
      <c r="F168" t="s">
        <v>15</v>
      </c>
      <c r="G168" s="3">
        <v>3421.31</v>
      </c>
      <c r="H168" s="3">
        <v>1934.04</v>
      </c>
      <c r="I168" s="3">
        <v>274.31</v>
      </c>
      <c r="J168">
        <v>1</v>
      </c>
      <c r="K168" s="4">
        <f t="shared" si="4"/>
        <v>1487.27</v>
      </c>
      <c r="L168" s="5">
        <f t="shared" si="5"/>
        <v>0.43470775813942614</v>
      </c>
      <c r="M168" s="4"/>
    </row>
    <row r="169" spans="1:13" x14ac:dyDescent="0.3">
      <c r="A169" t="s">
        <v>328</v>
      </c>
      <c r="B169" t="s">
        <v>329</v>
      </c>
      <c r="C169" t="s">
        <v>12</v>
      </c>
      <c r="D169" t="s">
        <v>22</v>
      </c>
      <c r="E169" t="s">
        <v>38</v>
      </c>
      <c r="F169" t="s">
        <v>15</v>
      </c>
      <c r="G169" s="3">
        <v>8949.85</v>
      </c>
      <c r="H169" s="3">
        <v>5014.41</v>
      </c>
      <c r="I169" s="3">
        <v>398.83</v>
      </c>
      <c r="J169">
        <v>5</v>
      </c>
      <c r="K169" s="4">
        <f t="shared" si="4"/>
        <v>3935.4400000000005</v>
      </c>
      <c r="L169" s="5">
        <f t="shared" si="5"/>
        <v>0.43972133611177844</v>
      </c>
      <c r="M169" s="4"/>
    </row>
    <row r="170" spans="1:13" x14ac:dyDescent="0.3">
      <c r="A170" t="s">
        <v>330</v>
      </c>
      <c r="B170" t="s">
        <v>331</v>
      </c>
      <c r="C170" t="s">
        <v>12</v>
      </c>
      <c r="D170" t="s">
        <v>13</v>
      </c>
      <c r="E170" t="s">
        <v>14</v>
      </c>
      <c r="F170" t="s">
        <v>20</v>
      </c>
      <c r="G170" s="3">
        <v>10267.65</v>
      </c>
      <c r="H170" s="3">
        <v>6945.63</v>
      </c>
      <c r="I170" s="3">
        <v>75.02</v>
      </c>
      <c r="J170">
        <v>3</v>
      </c>
      <c r="K170" s="4">
        <f t="shared" si="4"/>
        <v>3322.0199999999995</v>
      </c>
      <c r="L170" s="5">
        <f t="shared" si="5"/>
        <v>0.32354238798556628</v>
      </c>
      <c r="M170" s="4"/>
    </row>
    <row r="171" spans="1:13" x14ac:dyDescent="0.3">
      <c r="A171" t="s">
        <v>332</v>
      </c>
      <c r="B171" t="s">
        <v>333</v>
      </c>
      <c r="C171" t="s">
        <v>18</v>
      </c>
      <c r="D171" t="s">
        <v>19</v>
      </c>
      <c r="E171" t="s">
        <v>23</v>
      </c>
      <c r="F171" t="s">
        <v>20</v>
      </c>
      <c r="G171" s="3">
        <v>2272.89</v>
      </c>
      <c r="H171" s="3">
        <v>1452.57</v>
      </c>
      <c r="I171" s="3">
        <v>445.86</v>
      </c>
      <c r="J171">
        <v>3</v>
      </c>
      <c r="K171" s="4">
        <f t="shared" si="4"/>
        <v>820.31999999999994</v>
      </c>
      <c r="L171" s="5">
        <f t="shared" si="5"/>
        <v>0.3609149584889722</v>
      </c>
      <c r="M171" s="4"/>
    </row>
    <row r="172" spans="1:13" x14ac:dyDescent="0.3">
      <c r="A172" t="s">
        <v>334</v>
      </c>
      <c r="B172" t="s">
        <v>335</v>
      </c>
      <c r="C172" t="s">
        <v>25</v>
      </c>
      <c r="D172" t="s">
        <v>30</v>
      </c>
      <c r="E172" t="s">
        <v>27</v>
      </c>
      <c r="F172" t="s">
        <v>20</v>
      </c>
      <c r="G172" s="3">
        <v>14575.41</v>
      </c>
      <c r="H172" s="3">
        <v>12321.79</v>
      </c>
      <c r="I172" s="3">
        <v>89.09</v>
      </c>
      <c r="J172">
        <v>3</v>
      </c>
      <c r="K172" s="4">
        <f t="shared" si="4"/>
        <v>2253.619999999999</v>
      </c>
      <c r="L172" s="5">
        <f t="shared" si="5"/>
        <v>0.15461794899766107</v>
      </c>
      <c r="M172" s="4"/>
    </row>
    <row r="173" spans="1:13" x14ac:dyDescent="0.3">
      <c r="A173" t="s">
        <v>336</v>
      </c>
      <c r="B173" t="s">
        <v>274</v>
      </c>
      <c r="C173" t="s">
        <v>18</v>
      </c>
      <c r="D173" t="s">
        <v>60</v>
      </c>
      <c r="E173" t="s">
        <v>27</v>
      </c>
      <c r="F173" t="s">
        <v>15</v>
      </c>
      <c r="G173" s="3">
        <v>3253.66</v>
      </c>
      <c r="H173" s="3">
        <v>1960.49</v>
      </c>
      <c r="I173" s="3">
        <v>151.19</v>
      </c>
      <c r="J173">
        <v>2</v>
      </c>
      <c r="K173" s="4">
        <f t="shared" si="4"/>
        <v>1293.1699999999998</v>
      </c>
      <c r="L173" s="5">
        <f t="shared" si="5"/>
        <v>0.39745087071175228</v>
      </c>
      <c r="M173" s="4"/>
    </row>
    <row r="174" spans="1:13" x14ac:dyDescent="0.3">
      <c r="A174" t="s">
        <v>337</v>
      </c>
      <c r="B174" t="s">
        <v>338</v>
      </c>
      <c r="C174" t="s">
        <v>18</v>
      </c>
      <c r="D174" t="s">
        <v>55</v>
      </c>
      <c r="E174" t="s">
        <v>38</v>
      </c>
      <c r="F174" t="s">
        <v>15</v>
      </c>
      <c r="G174" s="3">
        <v>24940.2</v>
      </c>
      <c r="H174" s="3">
        <v>21026.16</v>
      </c>
      <c r="I174" s="3">
        <v>209.57</v>
      </c>
      <c r="J174">
        <v>5</v>
      </c>
      <c r="K174" s="4">
        <f t="shared" si="4"/>
        <v>3914.0400000000009</v>
      </c>
      <c r="L174" s="5">
        <f t="shared" si="5"/>
        <v>0.1569369932879448</v>
      </c>
      <c r="M174" s="4"/>
    </row>
    <row r="175" spans="1:13" x14ac:dyDescent="0.3">
      <c r="A175" t="s">
        <v>339</v>
      </c>
      <c r="B175" t="s">
        <v>340</v>
      </c>
      <c r="C175" t="s">
        <v>12</v>
      </c>
      <c r="D175" t="s">
        <v>22</v>
      </c>
      <c r="E175" t="s">
        <v>14</v>
      </c>
      <c r="F175" t="s">
        <v>15</v>
      </c>
      <c r="G175" s="3">
        <v>5560.52</v>
      </c>
      <c r="H175" s="3">
        <v>4440.67</v>
      </c>
      <c r="I175" s="3">
        <v>218.86</v>
      </c>
      <c r="J175">
        <v>2</v>
      </c>
      <c r="K175" s="4">
        <f t="shared" si="4"/>
        <v>1119.8500000000004</v>
      </c>
      <c r="L175" s="5">
        <f t="shared" si="5"/>
        <v>0.20139303518375984</v>
      </c>
      <c r="M175" s="4"/>
    </row>
    <row r="176" spans="1:13" x14ac:dyDescent="0.3">
      <c r="A176" t="s">
        <v>341</v>
      </c>
      <c r="B176" t="s">
        <v>342</v>
      </c>
      <c r="C176" t="s">
        <v>18</v>
      </c>
      <c r="D176" t="s">
        <v>19</v>
      </c>
      <c r="E176" t="s">
        <v>14</v>
      </c>
      <c r="F176" t="s">
        <v>15</v>
      </c>
      <c r="G176" s="3">
        <v>583.21</v>
      </c>
      <c r="H176" s="3">
        <v>441.46</v>
      </c>
      <c r="I176" s="3">
        <v>118.15</v>
      </c>
      <c r="J176">
        <v>1</v>
      </c>
      <c r="K176" s="4">
        <f t="shared" si="4"/>
        <v>141.75000000000006</v>
      </c>
      <c r="L176" s="5">
        <f t="shared" si="5"/>
        <v>0.24305138800775028</v>
      </c>
      <c r="M176" s="4"/>
    </row>
    <row r="177" spans="1:13" x14ac:dyDescent="0.3">
      <c r="A177" t="s">
        <v>343</v>
      </c>
      <c r="B177" t="s">
        <v>249</v>
      </c>
      <c r="C177" t="s">
        <v>25</v>
      </c>
      <c r="D177" t="s">
        <v>26</v>
      </c>
      <c r="E177" t="s">
        <v>38</v>
      </c>
      <c r="F177" t="s">
        <v>20</v>
      </c>
      <c r="G177" s="3">
        <v>12361.12</v>
      </c>
      <c r="H177" s="3">
        <v>8717.51</v>
      </c>
      <c r="I177" s="3">
        <v>465.82</v>
      </c>
      <c r="J177">
        <v>4</v>
      </c>
      <c r="K177" s="4">
        <f t="shared" si="4"/>
        <v>3643.6100000000006</v>
      </c>
      <c r="L177" s="5">
        <f t="shared" si="5"/>
        <v>0.29476374309124093</v>
      </c>
      <c r="M177" s="4"/>
    </row>
    <row r="178" spans="1:13" x14ac:dyDescent="0.3">
      <c r="A178" t="s">
        <v>344</v>
      </c>
      <c r="B178" t="s">
        <v>345</v>
      </c>
      <c r="C178" t="s">
        <v>25</v>
      </c>
      <c r="D178" t="s">
        <v>30</v>
      </c>
      <c r="E178" t="s">
        <v>38</v>
      </c>
      <c r="F178" t="s">
        <v>20</v>
      </c>
      <c r="G178" s="3">
        <v>1222.52</v>
      </c>
      <c r="H178" s="3">
        <v>674.06</v>
      </c>
      <c r="I178" s="3">
        <v>80.48</v>
      </c>
      <c r="J178">
        <v>1</v>
      </c>
      <c r="K178" s="4">
        <f t="shared" si="4"/>
        <v>548.46</v>
      </c>
      <c r="L178" s="5">
        <f t="shared" si="5"/>
        <v>0.44863069724830679</v>
      </c>
      <c r="M178" s="4"/>
    </row>
    <row r="179" spans="1:13" x14ac:dyDescent="0.3">
      <c r="A179" t="s">
        <v>346</v>
      </c>
      <c r="B179" t="s">
        <v>159</v>
      </c>
      <c r="C179" t="s">
        <v>25</v>
      </c>
      <c r="D179" t="s">
        <v>43</v>
      </c>
      <c r="E179" t="s">
        <v>27</v>
      </c>
      <c r="F179" t="s">
        <v>20</v>
      </c>
      <c r="G179" s="3">
        <v>7714.11</v>
      </c>
      <c r="H179" s="3">
        <v>4760.5600000000004</v>
      </c>
      <c r="I179" s="3">
        <v>195.83</v>
      </c>
      <c r="J179">
        <v>3</v>
      </c>
      <c r="K179" s="4">
        <f t="shared" si="4"/>
        <v>2953.5499999999993</v>
      </c>
      <c r="L179" s="5">
        <f t="shared" si="5"/>
        <v>0.38287631366418151</v>
      </c>
      <c r="M179" s="4"/>
    </row>
    <row r="180" spans="1:13" x14ac:dyDescent="0.3">
      <c r="A180" t="s">
        <v>347</v>
      </c>
      <c r="B180" t="s">
        <v>348</v>
      </c>
      <c r="C180" t="s">
        <v>18</v>
      </c>
      <c r="D180" t="s">
        <v>60</v>
      </c>
      <c r="E180" t="s">
        <v>14</v>
      </c>
      <c r="F180" t="s">
        <v>15</v>
      </c>
      <c r="G180" s="3">
        <v>12915.93</v>
      </c>
      <c r="H180" s="3">
        <v>10354.82</v>
      </c>
      <c r="I180" s="3">
        <v>74.010000000000005</v>
      </c>
      <c r="J180">
        <v>3</v>
      </c>
      <c r="K180" s="4">
        <f t="shared" si="4"/>
        <v>2561.1100000000006</v>
      </c>
      <c r="L180" s="5">
        <f t="shared" si="5"/>
        <v>0.19829079284263701</v>
      </c>
      <c r="M180" s="4"/>
    </row>
    <row r="181" spans="1:13" x14ac:dyDescent="0.3">
      <c r="A181" t="s">
        <v>349</v>
      </c>
      <c r="B181" t="s">
        <v>350</v>
      </c>
      <c r="C181" t="s">
        <v>12</v>
      </c>
      <c r="D181" t="s">
        <v>22</v>
      </c>
      <c r="E181" t="s">
        <v>14</v>
      </c>
      <c r="F181" t="s">
        <v>15</v>
      </c>
      <c r="G181" s="3">
        <v>19367.2</v>
      </c>
      <c r="H181" s="3">
        <v>12621.13</v>
      </c>
      <c r="I181" s="3">
        <v>460.5</v>
      </c>
      <c r="J181">
        <v>5</v>
      </c>
      <c r="K181" s="4">
        <f t="shared" si="4"/>
        <v>6746.0700000000015</v>
      </c>
      <c r="L181" s="5">
        <f t="shared" si="5"/>
        <v>0.34832448676112199</v>
      </c>
      <c r="M181" s="4"/>
    </row>
    <row r="182" spans="1:13" x14ac:dyDescent="0.3">
      <c r="A182" t="s">
        <v>351</v>
      </c>
      <c r="B182" t="s">
        <v>161</v>
      </c>
      <c r="C182" t="s">
        <v>12</v>
      </c>
      <c r="D182" t="s">
        <v>35</v>
      </c>
      <c r="E182" t="s">
        <v>27</v>
      </c>
      <c r="F182" t="s">
        <v>20</v>
      </c>
      <c r="G182" s="3">
        <v>7088.1</v>
      </c>
      <c r="H182" s="3">
        <v>4126.92</v>
      </c>
      <c r="I182" s="3">
        <v>483.79</v>
      </c>
      <c r="J182">
        <v>3</v>
      </c>
      <c r="K182" s="4">
        <f t="shared" si="4"/>
        <v>2961.1800000000003</v>
      </c>
      <c r="L182" s="5">
        <f t="shared" si="5"/>
        <v>0.41776780801625263</v>
      </c>
      <c r="M182" s="4"/>
    </row>
    <row r="183" spans="1:13" x14ac:dyDescent="0.3">
      <c r="A183" t="s">
        <v>352</v>
      </c>
      <c r="B183" t="s">
        <v>353</v>
      </c>
      <c r="C183" t="s">
        <v>25</v>
      </c>
      <c r="D183" t="s">
        <v>30</v>
      </c>
      <c r="E183" t="s">
        <v>14</v>
      </c>
      <c r="F183" t="s">
        <v>20</v>
      </c>
      <c r="G183" s="3">
        <v>1943.82</v>
      </c>
      <c r="H183" s="3">
        <v>1559.63</v>
      </c>
      <c r="I183" s="3">
        <v>394.02</v>
      </c>
      <c r="J183">
        <v>1</v>
      </c>
      <c r="K183" s="4">
        <f t="shared" si="4"/>
        <v>384.18999999999983</v>
      </c>
      <c r="L183" s="5">
        <f t="shared" si="5"/>
        <v>0.19764690146206945</v>
      </c>
      <c r="M183" s="4"/>
    </row>
    <row r="184" spans="1:13" x14ac:dyDescent="0.3">
      <c r="A184" t="s">
        <v>354</v>
      </c>
      <c r="B184" t="s">
        <v>355</v>
      </c>
      <c r="C184" t="s">
        <v>12</v>
      </c>
      <c r="D184" t="s">
        <v>22</v>
      </c>
      <c r="E184" t="s">
        <v>38</v>
      </c>
      <c r="F184" t="s">
        <v>15</v>
      </c>
      <c r="G184" s="3">
        <v>6352.48</v>
      </c>
      <c r="H184" s="3">
        <v>3822.1</v>
      </c>
      <c r="I184" s="3">
        <v>316.37</v>
      </c>
      <c r="J184">
        <v>4</v>
      </c>
      <c r="K184" s="4">
        <f t="shared" si="4"/>
        <v>2530.3799999999997</v>
      </c>
      <c r="L184" s="5">
        <f t="shared" si="5"/>
        <v>0.39832947132458502</v>
      </c>
      <c r="M184" s="4"/>
    </row>
    <row r="185" spans="1:13" x14ac:dyDescent="0.3">
      <c r="A185" t="s">
        <v>356</v>
      </c>
      <c r="B185" t="s">
        <v>345</v>
      </c>
      <c r="C185" t="s">
        <v>18</v>
      </c>
      <c r="D185" t="s">
        <v>46</v>
      </c>
      <c r="E185" t="s">
        <v>27</v>
      </c>
      <c r="F185" t="s">
        <v>20</v>
      </c>
      <c r="G185" s="3">
        <v>957.45</v>
      </c>
      <c r="H185" s="3">
        <v>705.7</v>
      </c>
      <c r="I185" s="3">
        <v>73.95</v>
      </c>
      <c r="J185">
        <v>3</v>
      </c>
      <c r="K185" s="4">
        <f t="shared" si="4"/>
        <v>251.75</v>
      </c>
      <c r="L185" s="5">
        <f t="shared" si="5"/>
        <v>0.26293801242884746</v>
      </c>
      <c r="M185" s="4"/>
    </row>
    <row r="186" spans="1:13" x14ac:dyDescent="0.3">
      <c r="A186" t="s">
        <v>357</v>
      </c>
      <c r="B186" t="s">
        <v>159</v>
      </c>
      <c r="C186" t="s">
        <v>18</v>
      </c>
      <c r="D186" t="s">
        <v>55</v>
      </c>
      <c r="E186" t="s">
        <v>38</v>
      </c>
      <c r="F186" t="s">
        <v>15</v>
      </c>
      <c r="G186" s="3">
        <v>957.82</v>
      </c>
      <c r="H186" s="3">
        <v>651.28</v>
      </c>
      <c r="I186" s="3">
        <v>107.5</v>
      </c>
      <c r="J186">
        <v>1</v>
      </c>
      <c r="K186" s="4">
        <f t="shared" si="4"/>
        <v>306.54000000000008</v>
      </c>
      <c r="L186" s="5">
        <f t="shared" si="5"/>
        <v>0.32003925581006876</v>
      </c>
      <c r="M186" s="4"/>
    </row>
    <row r="187" spans="1:13" x14ac:dyDescent="0.3">
      <c r="A187" t="s">
        <v>358</v>
      </c>
      <c r="B187" t="s">
        <v>359</v>
      </c>
      <c r="C187" t="s">
        <v>12</v>
      </c>
      <c r="D187" t="s">
        <v>13</v>
      </c>
      <c r="E187" t="s">
        <v>27</v>
      </c>
      <c r="F187" t="s">
        <v>15</v>
      </c>
      <c r="G187" s="3">
        <v>5269.02</v>
      </c>
      <c r="H187" s="3">
        <v>2670.35</v>
      </c>
      <c r="I187" s="3">
        <v>435.45</v>
      </c>
      <c r="J187">
        <v>3</v>
      </c>
      <c r="K187" s="4">
        <f t="shared" si="4"/>
        <v>2598.6700000000005</v>
      </c>
      <c r="L187" s="5">
        <f t="shared" si="5"/>
        <v>0.49319797609422633</v>
      </c>
      <c r="M187" s="4"/>
    </row>
    <row r="188" spans="1:13" x14ac:dyDescent="0.3">
      <c r="A188" t="s">
        <v>360</v>
      </c>
      <c r="B188" t="s">
        <v>245</v>
      </c>
      <c r="C188" t="s">
        <v>25</v>
      </c>
      <c r="D188" t="s">
        <v>43</v>
      </c>
      <c r="E188" t="s">
        <v>38</v>
      </c>
      <c r="F188" t="s">
        <v>20</v>
      </c>
      <c r="G188" s="3">
        <v>14825.95</v>
      </c>
      <c r="H188" s="3">
        <v>12305.76</v>
      </c>
      <c r="I188" s="3">
        <v>182.39</v>
      </c>
      <c r="J188">
        <v>5</v>
      </c>
      <c r="K188" s="4">
        <f t="shared" si="4"/>
        <v>2520.1900000000005</v>
      </c>
      <c r="L188" s="5">
        <f t="shared" si="5"/>
        <v>0.16998505997929308</v>
      </c>
      <c r="M188" s="4"/>
    </row>
    <row r="189" spans="1:13" x14ac:dyDescent="0.3">
      <c r="A189" t="s">
        <v>361</v>
      </c>
      <c r="B189" t="s">
        <v>362</v>
      </c>
      <c r="C189" t="s">
        <v>25</v>
      </c>
      <c r="D189" t="s">
        <v>26</v>
      </c>
      <c r="E189" t="s">
        <v>38</v>
      </c>
      <c r="F189" t="s">
        <v>15</v>
      </c>
      <c r="G189" s="3">
        <v>3186.3</v>
      </c>
      <c r="H189" s="3">
        <v>2445.98</v>
      </c>
      <c r="I189" s="3">
        <v>71.28</v>
      </c>
      <c r="J189">
        <v>1</v>
      </c>
      <c r="K189" s="4">
        <f t="shared" si="4"/>
        <v>740.32000000000016</v>
      </c>
      <c r="L189" s="5">
        <f t="shared" si="5"/>
        <v>0.23234472585757779</v>
      </c>
      <c r="M189" s="4"/>
    </row>
    <row r="190" spans="1:13" x14ac:dyDescent="0.3">
      <c r="A190" t="s">
        <v>363</v>
      </c>
      <c r="B190" t="s">
        <v>348</v>
      </c>
      <c r="C190" t="s">
        <v>12</v>
      </c>
      <c r="D190" t="s">
        <v>35</v>
      </c>
      <c r="E190" t="s">
        <v>27</v>
      </c>
      <c r="F190" t="s">
        <v>15</v>
      </c>
      <c r="G190" s="3">
        <v>4009.04</v>
      </c>
      <c r="H190" s="3">
        <v>3032.02</v>
      </c>
      <c r="I190" s="3">
        <v>288.58999999999997</v>
      </c>
      <c r="J190">
        <v>1</v>
      </c>
      <c r="K190" s="4">
        <f t="shared" si="4"/>
        <v>977.02</v>
      </c>
      <c r="L190" s="5">
        <f t="shared" si="5"/>
        <v>0.2437042284437172</v>
      </c>
      <c r="M190" s="4"/>
    </row>
    <row r="191" spans="1:13" x14ac:dyDescent="0.3">
      <c r="A191" t="s">
        <v>364</v>
      </c>
      <c r="B191" t="s">
        <v>57</v>
      </c>
      <c r="C191" t="s">
        <v>18</v>
      </c>
      <c r="D191" t="s">
        <v>60</v>
      </c>
      <c r="E191" t="s">
        <v>23</v>
      </c>
      <c r="F191" t="s">
        <v>15</v>
      </c>
      <c r="G191" s="3">
        <v>1482.07</v>
      </c>
      <c r="H191" s="3">
        <v>937.99</v>
      </c>
      <c r="I191" s="3">
        <v>476.46</v>
      </c>
      <c r="J191">
        <v>1</v>
      </c>
      <c r="K191" s="4">
        <f t="shared" si="4"/>
        <v>544.07999999999993</v>
      </c>
      <c r="L191" s="5">
        <f t="shared" si="5"/>
        <v>0.36710816628094484</v>
      </c>
      <c r="M191" s="4"/>
    </row>
    <row r="192" spans="1:13" x14ac:dyDescent="0.3">
      <c r="A192" t="s">
        <v>365</v>
      </c>
      <c r="B192" t="s">
        <v>296</v>
      </c>
      <c r="C192" t="s">
        <v>25</v>
      </c>
      <c r="D192" t="s">
        <v>26</v>
      </c>
      <c r="E192" t="s">
        <v>27</v>
      </c>
      <c r="F192" t="s">
        <v>15</v>
      </c>
      <c r="G192" s="3">
        <v>17070.7</v>
      </c>
      <c r="H192" s="3">
        <v>10054.6</v>
      </c>
      <c r="I192" s="3">
        <v>373.63</v>
      </c>
      <c r="J192">
        <v>5</v>
      </c>
      <c r="K192" s="4">
        <f t="shared" si="4"/>
        <v>7016.1</v>
      </c>
      <c r="L192" s="5">
        <f t="shared" si="5"/>
        <v>0.41100247793002043</v>
      </c>
      <c r="M192" s="4"/>
    </row>
    <row r="193" spans="1:13" x14ac:dyDescent="0.3">
      <c r="A193" t="s">
        <v>366</v>
      </c>
      <c r="B193" t="s">
        <v>367</v>
      </c>
      <c r="C193" t="s">
        <v>18</v>
      </c>
      <c r="D193" t="s">
        <v>55</v>
      </c>
      <c r="E193" t="s">
        <v>38</v>
      </c>
      <c r="F193" t="s">
        <v>15</v>
      </c>
      <c r="G193" s="3">
        <v>243.99</v>
      </c>
      <c r="H193" s="3">
        <v>181.76</v>
      </c>
      <c r="I193" s="3">
        <v>211.59</v>
      </c>
      <c r="J193">
        <v>1</v>
      </c>
      <c r="K193" s="4">
        <f t="shared" si="4"/>
        <v>62.230000000000018</v>
      </c>
      <c r="L193" s="5">
        <f t="shared" si="5"/>
        <v>0.25505143653428425</v>
      </c>
      <c r="M193" s="4"/>
    </row>
    <row r="194" spans="1:13" x14ac:dyDescent="0.3">
      <c r="A194" t="s">
        <v>368</v>
      </c>
      <c r="B194" t="s">
        <v>245</v>
      </c>
      <c r="C194" t="s">
        <v>18</v>
      </c>
      <c r="D194" t="s">
        <v>55</v>
      </c>
      <c r="E194" t="s">
        <v>38</v>
      </c>
      <c r="F194" t="s">
        <v>20</v>
      </c>
      <c r="G194" s="3">
        <v>19184.64</v>
      </c>
      <c r="H194" s="3">
        <v>12362.55</v>
      </c>
      <c r="I194" s="3">
        <v>357.42</v>
      </c>
      <c r="J194">
        <v>4</v>
      </c>
      <c r="K194" s="4">
        <f t="shared" si="4"/>
        <v>6822.09</v>
      </c>
      <c r="L194" s="5">
        <f t="shared" si="5"/>
        <v>0.35560166883506805</v>
      </c>
      <c r="M194" s="4"/>
    </row>
    <row r="195" spans="1:13" x14ac:dyDescent="0.3">
      <c r="A195" t="s">
        <v>369</v>
      </c>
      <c r="B195" t="s">
        <v>161</v>
      </c>
      <c r="C195" t="s">
        <v>18</v>
      </c>
      <c r="D195" t="s">
        <v>55</v>
      </c>
      <c r="E195" t="s">
        <v>14</v>
      </c>
      <c r="F195" t="s">
        <v>20</v>
      </c>
      <c r="G195" s="3">
        <v>4793.84</v>
      </c>
      <c r="H195" s="3">
        <v>3330.8</v>
      </c>
      <c r="I195" s="3">
        <v>367.11</v>
      </c>
      <c r="J195">
        <v>4</v>
      </c>
      <c r="K195" s="4">
        <f t="shared" ref="K195:K201" si="6">G195-H195</f>
        <v>1463.04</v>
      </c>
      <c r="L195" s="5">
        <f t="shared" ref="L195:L201" si="7">K195/G195</f>
        <v>0.30519166263371322</v>
      </c>
      <c r="M195" s="4"/>
    </row>
    <row r="196" spans="1:13" x14ac:dyDescent="0.3">
      <c r="A196" t="s">
        <v>370</v>
      </c>
      <c r="B196" t="s">
        <v>62</v>
      </c>
      <c r="C196" t="s">
        <v>12</v>
      </c>
      <c r="D196" t="s">
        <v>35</v>
      </c>
      <c r="E196" t="s">
        <v>14</v>
      </c>
      <c r="F196" t="s">
        <v>15</v>
      </c>
      <c r="G196" s="3">
        <v>13582.23</v>
      </c>
      <c r="H196" s="3">
        <v>7598.16</v>
      </c>
      <c r="I196" s="3">
        <v>411.89</v>
      </c>
      <c r="J196">
        <v>3</v>
      </c>
      <c r="K196" s="4">
        <f t="shared" si="6"/>
        <v>5984.07</v>
      </c>
      <c r="L196" s="5">
        <f t="shared" si="7"/>
        <v>0.44058081773022545</v>
      </c>
      <c r="M196" s="4"/>
    </row>
    <row r="197" spans="1:13" x14ac:dyDescent="0.3">
      <c r="A197" t="s">
        <v>371</v>
      </c>
      <c r="B197" t="s">
        <v>372</v>
      </c>
      <c r="C197" t="s">
        <v>18</v>
      </c>
      <c r="D197" t="s">
        <v>55</v>
      </c>
      <c r="E197" t="s">
        <v>23</v>
      </c>
      <c r="F197" t="s">
        <v>20</v>
      </c>
      <c r="G197" s="3">
        <v>3548.44</v>
      </c>
      <c r="H197" s="3">
        <v>1968.13</v>
      </c>
      <c r="I197" s="3">
        <v>427.04</v>
      </c>
      <c r="J197">
        <v>1</v>
      </c>
      <c r="K197" s="4">
        <f t="shared" si="6"/>
        <v>1580.31</v>
      </c>
      <c r="L197" s="5">
        <f t="shared" si="7"/>
        <v>0.44535345109400187</v>
      </c>
      <c r="M197" s="4"/>
    </row>
    <row r="198" spans="1:13" x14ac:dyDescent="0.3">
      <c r="A198" t="s">
        <v>373</v>
      </c>
      <c r="B198" t="s">
        <v>374</v>
      </c>
      <c r="C198" t="s">
        <v>25</v>
      </c>
      <c r="D198" t="s">
        <v>30</v>
      </c>
      <c r="E198" t="s">
        <v>27</v>
      </c>
      <c r="F198" t="s">
        <v>15</v>
      </c>
      <c r="G198" s="3">
        <v>7668.18</v>
      </c>
      <c r="H198" s="3">
        <v>4614.7</v>
      </c>
      <c r="I198" s="3">
        <v>273.2</v>
      </c>
      <c r="J198">
        <v>2</v>
      </c>
      <c r="K198" s="4">
        <f t="shared" si="6"/>
        <v>3053.4800000000005</v>
      </c>
      <c r="L198" s="5">
        <f t="shared" si="7"/>
        <v>0.39820139850655573</v>
      </c>
      <c r="M198" s="4"/>
    </row>
    <row r="199" spans="1:13" x14ac:dyDescent="0.3">
      <c r="A199" t="s">
        <v>375</v>
      </c>
      <c r="B199" t="s">
        <v>376</v>
      </c>
      <c r="C199" t="s">
        <v>25</v>
      </c>
      <c r="D199" t="s">
        <v>43</v>
      </c>
      <c r="E199" t="s">
        <v>27</v>
      </c>
      <c r="F199" t="s">
        <v>15</v>
      </c>
      <c r="G199" s="3">
        <v>16493.150000000001</v>
      </c>
      <c r="H199" s="3">
        <v>11285.07</v>
      </c>
      <c r="I199" s="3">
        <v>448.29</v>
      </c>
      <c r="J199">
        <v>5</v>
      </c>
      <c r="K199" s="4">
        <f t="shared" si="6"/>
        <v>5208.0800000000017</v>
      </c>
      <c r="L199" s="5">
        <f t="shared" si="7"/>
        <v>0.31577230547227192</v>
      </c>
      <c r="M199" s="4"/>
    </row>
    <row r="200" spans="1:13" x14ac:dyDescent="0.3">
      <c r="A200" t="s">
        <v>377</v>
      </c>
      <c r="B200" t="s">
        <v>378</v>
      </c>
      <c r="C200" t="s">
        <v>18</v>
      </c>
      <c r="D200" t="s">
        <v>55</v>
      </c>
      <c r="E200" t="s">
        <v>27</v>
      </c>
      <c r="F200" t="s">
        <v>15</v>
      </c>
      <c r="G200" s="3">
        <v>4706.0200000000004</v>
      </c>
      <c r="H200" s="3">
        <v>3464.94</v>
      </c>
      <c r="I200" s="3">
        <v>202.34</v>
      </c>
      <c r="J200">
        <v>1</v>
      </c>
      <c r="K200" s="4">
        <f t="shared" si="6"/>
        <v>1241.0800000000004</v>
      </c>
      <c r="L200" s="5">
        <f t="shared" si="7"/>
        <v>0.26372178613775554</v>
      </c>
      <c r="M200" s="4"/>
    </row>
    <row r="201" spans="1:13" x14ac:dyDescent="0.3">
      <c r="A201" t="s">
        <v>379</v>
      </c>
      <c r="B201" t="s">
        <v>74</v>
      </c>
      <c r="C201" t="s">
        <v>18</v>
      </c>
      <c r="D201" t="s">
        <v>46</v>
      </c>
      <c r="E201" t="s">
        <v>38</v>
      </c>
      <c r="F201" t="s">
        <v>15</v>
      </c>
      <c r="G201" s="3">
        <v>24605.200000000001</v>
      </c>
      <c r="H201" s="3">
        <v>14548.91</v>
      </c>
      <c r="I201" s="3">
        <v>166.86</v>
      </c>
      <c r="J201">
        <v>5</v>
      </c>
      <c r="K201" s="4">
        <f t="shared" si="6"/>
        <v>10056.290000000001</v>
      </c>
      <c r="L201" s="5">
        <f t="shared" si="7"/>
        <v>0.4087058833092192</v>
      </c>
      <c r="M201" s="4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79A1-4B7C-4ED8-9A6E-0FD9E75E074E}">
  <dimension ref="A1:J201"/>
  <sheetViews>
    <sheetView workbookViewId="0">
      <selection sqref="A1:XFD1048576"/>
    </sheetView>
  </sheetViews>
  <sheetFormatPr defaultRowHeight="14.4" x14ac:dyDescent="0.3"/>
  <cols>
    <col min="2" max="2" width="10.33203125" bestFit="1" customWidth="1"/>
    <col min="4" max="4" width="12.88671875" bestFit="1" customWidth="1"/>
    <col min="7" max="7" width="14.5546875" bestFit="1" customWidth="1"/>
    <col min="8" max="8" width="11.33203125" bestFit="1" customWidth="1"/>
    <col min="9" max="9" width="16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3">
        <v>8835.44</v>
      </c>
      <c r="H2" s="3">
        <v>6473.07</v>
      </c>
      <c r="I2" s="3">
        <v>153.46</v>
      </c>
      <c r="J2">
        <v>2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t="s">
        <v>14</v>
      </c>
      <c r="F3" t="s">
        <v>20</v>
      </c>
      <c r="G3" s="3">
        <v>6094.5</v>
      </c>
      <c r="H3" s="3">
        <v>3491.74</v>
      </c>
      <c r="I3" s="3">
        <v>231.08</v>
      </c>
      <c r="J3">
        <v>5</v>
      </c>
    </row>
    <row r="4" spans="1:10" x14ac:dyDescent="0.3">
      <c r="A4" t="s">
        <v>21</v>
      </c>
      <c r="B4" t="s">
        <v>11</v>
      </c>
      <c r="C4" t="s">
        <v>12</v>
      </c>
      <c r="D4" t="s">
        <v>22</v>
      </c>
      <c r="E4" t="s">
        <v>23</v>
      </c>
      <c r="F4" t="s">
        <v>20</v>
      </c>
      <c r="G4" s="3">
        <v>17535.240000000002</v>
      </c>
      <c r="H4" s="3">
        <v>10952.95</v>
      </c>
      <c r="I4" s="3">
        <v>159.52000000000001</v>
      </c>
      <c r="J4">
        <v>4</v>
      </c>
    </row>
    <row r="5" spans="1:10" x14ac:dyDescent="0.3">
      <c r="A5" t="s">
        <v>24</v>
      </c>
      <c r="B5" t="s">
        <v>17</v>
      </c>
      <c r="C5" t="s">
        <v>25</v>
      </c>
      <c r="D5" t="s">
        <v>26</v>
      </c>
      <c r="E5" t="s">
        <v>27</v>
      </c>
      <c r="F5" t="s">
        <v>20</v>
      </c>
      <c r="G5" s="3">
        <v>3141.96</v>
      </c>
      <c r="H5" s="3">
        <v>2432.23</v>
      </c>
      <c r="I5" s="3">
        <v>486.53</v>
      </c>
      <c r="J5">
        <v>4</v>
      </c>
    </row>
    <row r="6" spans="1:10" x14ac:dyDescent="0.3">
      <c r="A6" t="s">
        <v>28</v>
      </c>
      <c r="B6" t="s">
        <v>29</v>
      </c>
      <c r="C6" t="s">
        <v>25</v>
      </c>
      <c r="D6" t="s">
        <v>30</v>
      </c>
      <c r="E6" t="s">
        <v>27</v>
      </c>
      <c r="F6" t="s">
        <v>20</v>
      </c>
      <c r="G6" s="3">
        <v>9719.76</v>
      </c>
      <c r="H6" s="3">
        <v>7979.42</v>
      </c>
      <c r="I6" s="3">
        <v>216.57</v>
      </c>
      <c r="J6">
        <v>3</v>
      </c>
    </row>
    <row r="7" spans="1:10" x14ac:dyDescent="0.3">
      <c r="A7" t="s">
        <v>31</v>
      </c>
      <c r="B7" t="s">
        <v>32</v>
      </c>
      <c r="C7" t="s">
        <v>25</v>
      </c>
      <c r="D7" t="s">
        <v>30</v>
      </c>
      <c r="E7" t="s">
        <v>14</v>
      </c>
      <c r="F7" t="s">
        <v>15</v>
      </c>
      <c r="G7" s="3">
        <v>3587.64</v>
      </c>
      <c r="H7" s="3">
        <v>2773.83</v>
      </c>
      <c r="I7" s="3">
        <v>132.76</v>
      </c>
      <c r="J7">
        <v>2</v>
      </c>
    </row>
    <row r="8" spans="1:10" x14ac:dyDescent="0.3">
      <c r="A8" t="s">
        <v>33</v>
      </c>
      <c r="B8" t="s">
        <v>34</v>
      </c>
      <c r="C8" t="s">
        <v>12</v>
      </c>
      <c r="D8" t="s">
        <v>35</v>
      </c>
      <c r="E8" t="s">
        <v>14</v>
      </c>
      <c r="F8" t="s">
        <v>15</v>
      </c>
      <c r="G8" s="3">
        <v>2348.73</v>
      </c>
      <c r="H8" s="3">
        <v>1535.94</v>
      </c>
      <c r="I8" s="3">
        <v>416.78</v>
      </c>
      <c r="J8">
        <v>1</v>
      </c>
    </row>
    <row r="9" spans="1:10" x14ac:dyDescent="0.3">
      <c r="A9" t="s">
        <v>36</v>
      </c>
      <c r="B9" t="s">
        <v>37</v>
      </c>
      <c r="C9" t="s">
        <v>25</v>
      </c>
      <c r="D9" t="s">
        <v>26</v>
      </c>
      <c r="E9" t="s">
        <v>38</v>
      </c>
      <c r="F9" t="s">
        <v>20</v>
      </c>
      <c r="G9" s="3">
        <v>6967.32</v>
      </c>
      <c r="H9" s="3">
        <v>5733.88</v>
      </c>
      <c r="I9" s="3">
        <v>194.94</v>
      </c>
      <c r="J9">
        <v>4</v>
      </c>
    </row>
    <row r="10" spans="1:10" x14ac:dyDescent="0.3">
      <c r="A10" t="s">
        <v>39</v>
      </c>
      <c r="B10" t="s">
        <v>40</v>
      </c>
      <c r="C10" t="s">
        <v>25</v>
      </c>
      <c r="D10" t="s">
        <v>30</v>
      </c>
      <c r="E10" t="s">
        <v>38</v>
      </c>
      <c r="F10" t="s">
        <v>15</v>
      </c>
      <c r="G10" s="3">
        <v>9073.6200000000008</v>
      </c>
      <c r="H10" s="3">
        <v>7566.68</v>
      </c>
      <c r="I10" s="3">
        <v>320.77999999999997</v>
      </c>
      <c r="J10">
        <v>2</v>
      </c>
    </row>
    <row r="11" spans="1:10" x14ac:dyDescent="0.3">
      <c r="A11" t="s">
        <v>41</v>
      </c>
      <c r="B11" t="s">
        <v>42</v>
      </c>
      <c r="C11" t="s">
        <v>25</v>
      </c>
      <c r="D11" t="s">
        <v>43</v>
      </c>
      <c r="E11" t="s">
        <v>27</v>
      </c>
      <c r="F11" t="s">
        <v>15</v>
      </c>
      <c r="G11" s="3">
        <v>10838.05</v>
      </c>
      <c r="H11" s="3">
        <v>8335.31</v>
      </c>
      <c r="I11" s="3">
        <v>108.55</v>
      </c>
      <c r="J11">
        <v>5</v>
      </c>
    </row>
    <row r="12" spans="1:10" x14ac:dyDescent="0.3">
      <c r="A12" t="s">
        <v>44</v>
      </c>
      <c r="B12" t="s">
        <v>45</v>
      </c>
      <c r="C12" t="s">
        <v>18</v>
      </c>
      <c r="D12" t="s">
        <v>46</v>
      </c>
      <c r="E12" t="s">
        <v>38</v>
      </c>
      <c r="F12" t="s">
        <v>20</v>
      </c>
      <c r="G12" s="3">
        <v>3606.22</v>
      </c>
      <c r="H12" s="3">
        <v>2763.52</v>
      </c>
      <c r="I12" s="3">
        <v>253.64</v>
      </c>
      <c r="J12">
        <v>1</v>
      </c>
    </row>
    <row r="13" spans="1:10" x14ac:dyDescent="0.3">
      <c r="A13" t="s">
        <v>47</v>
      </c>
      <c r="B13" t="s">
        <v>48</v>
      </c>
      <c r="C13" t="s">
        <v>25</v>
      </c>
      <c r="D13" t="s">
        <v>26</v>
      </c>
      <c r="E13" t="s">
        <v>23</v>
      </c>
      <c r="F13" t="s">
        <v>15</v>
      </c>
      <c r="G13" s="3">
        <v>4257.4399999999996</v>
      </c>
      <c r="H13" s="3">
        <v>2733.42</v>
      </c>
      <c r="I13" s="3">
        <v>165.63</v>
      </c>
      <c r="J13">
        <v>2</v>
      </c>
    </row>
    <row r="14" spans="1:10" x14ac:dyDescent="0.3">
      <c r="A14" t="s">
        <v>49</v>
      </c>
      <c r="B14" t="s">
        <v>50</v>
      </c>
      <c r="C14" t="s">
        <v>18</v>
      </c>
      <c r="D14" t="s">
        <v>46</v>
      </c>
      <c r="E14" t="s">
        <v>27</v>
      </c>
      <c r="F14" t="s">
        <v>20</v>
      </c>
      <c r="G14" s="3">
        <v>1382.52</v>
      </c>
      <c r="H14" s="3">
        <v>781.7</v>
      </c>
      <c r="I14" s="3">
        <v>354.35</v>
      </c>
      <c r="J14">
        <v>1</v>
      </c>
    </row>
    <row r="15" spans="1:10" x14ac:dyDescent="0.3">
      <c r="A15" t="s">
        <v>51</v>
      </c>
      <c r="B15" t="s">
        <v>52</v>
      </c>
      <c r="C15" t="s">
        <v>12</v>
      </c>
      <c r="D15" t="s">
        <v>13</v>
      </c>
      <c r="E15" t="s">
        <v>38</v>
      </c>
      <c r="F15" t="s">
        <v>15</v>
      </c>
      <c r="G15" s="3">
        <v>2059.23</v>
      </c>
      <c r="H15" s="3">
        <v>1239.07</v>
      </c>
      <c r="I15" s="3">
        <v>207.53</v>
      </c>
      <c r="J15">
        <v>1</v>
      </c>
    </row>
    <row r="16" spans="1:10" x14ac:dyDescent="0.3">
      <c r="A16" t="s">
        <v>53</v>
      </c>
      <c r="B16" t="s">
        <v>54</v>
      </c>
      <c r="C16" t="s">
        <v>18</v>
      </c>
      <c r="D16" t="s">
        <v>55</v>
      </c>
      <c r="E16" t="s">
        <v>38</v>
      </c>
      <c r="F16" t="s">
        <v>20</v>
      </c>
      <c r="G16" s="3">
        <v>19759.96</v>
      </c>
      <c r="H16" s="3">
        <v>16056.05</v>
      </c>
      <c r="I16" s="3">
        <v>319.5</v>
      </c>
      <c r="J16">
        <v>4</v>
      </c>
    </row>
    <row r="17" spans="1:10" x14ac:dyDescent="0.3">
      <c r="A17" t="s">
        <v>56</v>
      </c>
      <c r="B17" t="s">
        <v>57</v>
      </c>
      <c r="C17" t="s">
        <v>12</v>
      </c>
      <c r="D17" t="s">
        <v>13</v>
      </c>
      <c r="E17" t="s">
        <v>23</v>
      </c>
      <c r="F17" t="s">
        <v>20</v>
      </c>
      <c r="G17" s="3">
        <v>3333</v>
      </c>
      <c r="H17" s="3">
        <v>2489.5300000000002</v>
      </c>
      <c r="I17" s="3">
        <v>85.74</v>
      </c>
      <c r="J17">
        <v>2</v>
      </c>
    </row>
    <row r="18" spans="1:10" x14ac:dyDescent="0.3">
      <c r="A18" t="s">
        <v>58</v>
      </c>
      <c r="B18" t="s">
        <v>59</v>
      </c>
      <c r="C18" t="s">
        <v>18</v>
      </c>
      <c r="D18" t="s">
        <v>60</v>
      </c>
      <c r="E18" t="s">
        <v>14</v>
      </c>
      <c r="F18" t="s">
        <v>15</v>
      </c>
      <c r="G18" s="3">
        <v>3206.44</v>
      </c>
      <c r="H18" s="3">
        <v>2348.7399999999998</v>
      </c>
      <c r="I18" s="3">
        <v>192.49</v>
      </c>
      <c r="J18">
        <v>1</v>
      </c>
    </row>
    <row r="19" spans="1:10" x14ac:dyDescent="0.3">
      <c r="A19" t="s">
        <v>61</v>
      </c>
      <c r="B19" t="s">
        <v>62</v>
      </c>
      <c r="C19" t="s">
        <v>12</v>
      </c>
      <c r="D19" t="s">
        <v>35</v>
      </c>
      <c r="E19" t="s">
        <v>27</v>
      </c>
      <c r="F19" t="s">
        <v>20</v>
      </c>
      <c r="G19" s="3">
        <v>7149.96</v>
      </c>
      <c r="H19" s="3">
        <v>5428.6</v>
      </c>
      <c r="I19" s="3">
        <v>410.35</v>
      </c>
      <c r="J19">
        <v>3</v>
      </c>
    </row>
    <row r="20" spans="1:10" x14ac:dyDescent="0.3">
      <c r="A20" t="s">
        <v>63</v>
      </c>
      <c r="B20" t="s">
        <v>64</v>
      </c>
      <c r="C20" t="s">
        <v>18</v>
      </c>
      <c r="D20" t="s">
        <v>19</v>
      </c>
      <c r="E20" t="s">
        <v>14</v>
      </c>
      <c r="F20" t="s">
        <v>20</v>
      </c>
      <c r="G20" s="3">
        <v>14994.06</v>
      </c>
      <c r="H20" s="3">
        <v>11566.92</v>
      </c>
      <c r="I20" s="3">
        <v>282.70999999999998</v>
      </c>
      <c r="J20">
        <v>3</v>
      </c>
    </row>
    <row r="21" spans="1:10" x14ac:dyDescent="0.3">
      <c r="A21" t="s">
        <v>65</v>
      </c>
      <c r="B21" t="s">
        <v>62</v>
      </c>
      <c r="C21" t="s">
        <v>12</v>
      </c>
      <c r="D21" t="s">
        <v>13</v>
      </c>
      <c r="E21" t="s">
        <v>14</v>
      </c>
      <c r="F21" t="s">
        <v>20</v>
      </c>
      <c r="G21" s="3">
        <v>350.07</v>
      </c>
      <c r="H21" s="3">
        <v>271.08</v>
      </c>
      <c r="I21" s="3">
        <v>439.23</v>
      </c>
      <c r="J21">
        <v>1</v>
      </c>
    </row>
    <row r="22" spans="1:10" x14ac:dyDescent="0.3">
      <c r="A22" t="s">
        <v>66</v>
      </c>
      <c r="B22" t="s">
        <v>67</v>
      </c>
      <c r="C22" t="s">
        <v>12</v>
      </c>
      <c r="D22" t="s">
        <v>35</v>
      </c>
      <c r="E22" t="s">
        <v>14</v>
      </c>
      <c r="F22" t="s">
        <v>20</v>
      </c>
      <c r="G22" s="3">
        <v>14455.8</v>
      </c>
      <c r="H22" s="3">
        <v>8775.1200000000008</v>
      </c>
      <c r="I22" s="3">
        <v>265.01</v>
      </c>
      <c r="J22">
        <v>5</v>
      </c>
    </row>
    <row r="23" spans="1:10" x14ac:dyDescent="0.3">
      <c r="A23" t="s">
        <v>68</v>
      </c>
      <c r="B23" t="s">
        <v>69</v>
      </c>
      <c r="C23" t="s">
        <v>25</v>
      </c>
      <c r="D23" t="s">
        <v>30</v>
      </c>
      <c r="E23" t="s">
        <v>38</v>
      </c>
      <c r="F23" t="s">
        <v>20</v>
      </c>
      <c r="G23" s="3">
        <v>6630.84</v>
      </c>
      <c r="H23" s="3">
        <v>3541.19</v>
      </c>
      <c r="I23" s="3">
        <v>86.39</v>
      </c>
      <c r="J23">
        <v>3</v>
      </c>
    </row>
    <row r="24" spans="1:10" x14ac:dyDescent="0.3">
      <c r="A24" t="s">
        <v>70</v>
      </c>
      <c r="B24" t="s">
        <v>59</v>
      </c>
      <c r="C24" t="s">
        <v>25</v>
      </c>
      <c r="D24" t="s">
        <v>26</v>
      </c>
      <c r="E24" t="s">
        <v>14</v>
      </c>
      <c r="F24" t="s">
        <v>15</v>
      </c>
      <c r="G24" s="3">
        <v>7667.52</v>
      </c>
      <c r="H24" s="3">
        <v>5432.1</v>
      </c>
      <c r="I24" s="3">
        <v>437.78</v>
      </c>
      <c r="J24">
        <v>3</v>
      </c>
    </row>
    <row r="25" spans="1:10" x14ac:dyDescent="0.3">
      <c r="A25" t="s">
        <v>71</v>
      </c>
      <c r="B25" t="s">
        <v>72</v>
      </c>
      <c r="C25" t="s">
        <v>25</v>
      </c>
      <c r="D25" t="s">
        <v>43</v>
      </c>
      <c r="E25" t="s">
        <v>38</v>
      </c>
      <c r="F25" t="s">
        <v>15</v>
      </c>
      <c r="G25" s="3">
        <v>930.77</v>
      </c>
      <c r="H25" s="3">
        <v>521.07000000000005</v>
      </c>
      <c r="I25" s="3">
        <v>496.07</v>
      </c>
      <c r="J25">
        <v>1</v>
      </c>
    </row>
    <row r="26" spans="1:10" x14ac:dyDescent="0.3">
      <c r="A26" t="s">
        <v>73</v>
      </c>
      <c r="B26" t="s">
        <v>74</v>
      </c>
      <c r="C26" t="s">
        <v>18</v>
      </c>
      <c r="D26" t="s">
        <v>46</v>
      </c>
      <c r="E26" t="s">
        <v>38</v>
      </c>
      <c r="F26" t="s">
        <v>20</v>
      </c>
      <c r="G26" s="3">
        <v>9112.66</v>
      </c>
      <c r="H26" s="3">
        <v>7373.96</v>
      </c>
      <c r="I26" s="3">
        <v>107.47</v>
      </c>
      <c r="J26">
        <v>2</v>
      </c>
    </row>
    <row r="27" spans="1:10" x14ac:dyDescent="0.3">
      <c r="A27" t="s">
        <v>75</v>
      </c>
      <c r="B27" t="s">
        <v>76</v>
      </c>
      <c r="C27" t="s">
        <v>12</v>
      </c>
      <c r="D27" t="s">
        <v>22</v>
      </c>
      <c r="E27" t="s">
        <v>27</v>
      </c>
      <c r="F27" t="s">
        <v>15</v>
      </c>
      <c r="G27" s="3">
        <v>2263.38</v>
      </c>
      <c r="H27" s="3">
        <v>1813.53</v>
      </c>
      <c r="I27" s="3">
        <v>473.41</v>
      </c>
      <c r="J27">
        <v>1</v>
      </c>
    </row>
    <row r="28" spans="1:10" x14ac:dyDescent="0.3">
      <c r="A28" t="s">
        <v>77</v>
      </c>
      <c r="B28" t="s">
        <v>74</v>
      </c>
      <c r="C28" t="s">
        <v>12</v>
      </c>
      <c r="D28" t="s">
        <v>22</v>
      </c>
      <c r="E28" t="s">
        <v>23</v>
      </c>
      <c r="F28" t="s">
        <v>20</v>
      </c>
      <c r="G28" s="3">
        <v>17682.439999999999</v>
      </c>
      <c r="H28" s="3">
        <v>11834.07</v>
      </c>
      <c r="I28" s="3">
        <v>246.56</v>
      </c>
      <c r="J28">
        <v>4</v>
      </c>
    </row>
    <row r="29" spans="1:10" x14ac:dyDescent="0.3">
      <c r="A29" t="s">
        <v>78</v>
      </c>
      <c r="B29" t="s">
        <v>79</v>
      </c>
      <c r="C29" t="s">
        <v>12</v>
      </c>
      <c r="D29" t="s">
        <v>22</v>
      </c>
      <c r="E29" t="s">
        <v>27</v>
      </c>
      <c r="F29" t="s">
        <v>15</v>
      </c>
      <c r="G29" s="3">
        <v>7211.72</v>
      </c>
      <c r="H29" s="3">
        <v>6036.07</v>
      </c>
      <c r="I29" s="3">
        <v>204.37</v>
      </c>
      <c r="J29">
        <v>4</v>
      </c>
    </row>
    <row r="30" spans="1:10" x14ac:dyDescent="0.3">
      <c r="A30" t="s">
        <v>80</v>
      </c>
      <c r="B30" t="s">
        <v>81</v>
      </c>
      <c r="C30" t="s">
        <v>25</v>
      </c>
      <c r="D30" t="s">
        <v>30</v>
      </c>
      <c r="E30" t="s">
        <v>38</v>
      </c>
      <c r="F30" t="s">
        <v>15</v>
      </c>
      <c r="G30" s="3">
        <v>5472.08</v>
      </c>
      <c r="H30" s="3">
        <v>2829.17</v>
      </c>
      <c r="I30" s="3">
        <v>384.68</v>
      </c>
      <c r="J30">
        <v>2</v>
      </c>
    </row>
    <row r="31" spans="1:10" x14ac:dyDescent="0.3">
      <c r="A31" t="s">
        <v>82</v>
      </c>
      <c r="B31" t="s">
        <v>76</v>
      </c>
      <c r="C31" t="s">
        <v>12</v>
      </c>
      <c r="D31" t="s">
        <v>13</v>
      </c>
      <c r="E31" t="s">
        <v>27</v>
      </c>
      <c r="F31" t="s">
        <v>15</v>
      </c>
      <c r="G31" s="3">
        <v>1379.48</v>
      </c>
      <c r="H31" s="3">
        <v>772.86</v>
      </c>
      <c r="I31" s="3">
        <v>295.83999999999997</v>
      </c>
      <c r="J31">
        <v>2</v>
      </c>
    </row>
    <row r="32" spans="1:10" x14ac:dyDescent="0.3">
      <c r="A32" t="s">
        <v>83</v>
      </c>
      <c r="B32" t="s">
        <v>84</v>
      </c>
      <c r="C32" t="s">
        <v>12</v>
      </c>
      <c r="D32" t="s">
        <v>22</v>
      </c>
      <c r="E32" t="s">
        <v>27</v>
      </c>
      <c r="F32" t="s">
        <v>20</v>
      </c>
      <c r="G32" s="3">
        <v>4779.8500000000004</v>
      </c>
      <c r="H32" s="3">
        <v>3956.75</v>
      </c>
      <c r="I32" s="3">
        <v>359.09</v>
      </c>
      <c r="J32">
        <v>5</v>
      </c>
    </row>
    <row r="33" spans="1:10" x14ac:dyDescent="0.3">
      <c r="A33" t="s">
        <v>85</v>
      </c>
      <c r="B33" t="s">
        <v>79</v>
      </c>
      <c r="C33" t="s">
        <v>18</v>
      </c>
      <c r="D33" t="s">
        <v>46</v>
      </c>
      <c r="E33" t="s">
        <v>27</v>
      </c>
      <c r="F33" t="s">
        <v>20</v>
      </c>
      <c r="G33" s="3">
        <v>482.73</v>
      </c>
      <c r="H33" s="3">
        <v>354.13</v>
      </c>
      <c r="I33" s="3">
        <v>354.48</v>
      </c>
      <c r="J33">
        <v>1</v>
      </c>
    </row>
    <row r="34" spans="1:10" x14ac:dyDescent="0.3">
      <c r="A34" t="s">
        <v>86</v>
      </c>
      <c r="B34" t="s">
        <v>87</v>
      </c>
      <c r="C34" t="s">
        <v>12</v>
      </c>
      <c r="D34" t="s">
        <v>35</v>
      </c>
      <c r="E34" t="s">
        <v>38</v>
      </c>
      <c r="F34" t="s">
        <v>15</v>
      </c>
      <c r="G34" s="3">
        <v>8270.7199999999993</v>
      </c>
      <c r="H34" s="3">
        <v>4471.88</v>
      </c>
      <c r="I34" s="3">
        <v>228.09</v>
      </c>
      <c r="J34">
        <v>2</v>
      </c>
    </row>
    <row r="35" spans="1:10" x14ac:dyDescent="0.3">
      <c r="A35" t="s">
        <v>88</v>
      </c>
      <c r="B35" t="s">
        <v>89</v>
      </c>
      <c r="C35" t="s">
        <v>18</v>
      </c>
      <c r="D35" t="s">
        <v>55</v>
      </c>
      <c r="E35" t="s">
        <v>27</v>
      </c>
      <c r="F35" t="s">
        <v>20</v>
      </c>
      <c r="G35" s="3">
        <v>4918.82</v>
      </c>
      <c r="H35" s="3">
        <v>2799.23</v>
      </c>
      <c r="I35" s="3">
        <v>53.47</v>
      </c>
      <c r="J35">
        <v>2</v>
      </c>
    </row>
    <row r="36" spans="1:10" x14ac:dyDescent="0.3">
      <c r="A36" t="s">
        <v>90</v>
      </c>
      <c r="B36" t="s">
        <v>91</v>
      </c>
      <c r="C36" t="s">
        <v>25</v>
      </c>
      <c r="D36" t="s">
        <v>26</v>
      </c>
      <c r="E36" t="s">
        <v>38</v>
      </c>
      <c r="F36" t="s">
        <v>15</v>
      </c>
      <c r="G36" s="3">
        <v>2585.35</v>
      </c>
      <c r="H36" s="3">
        <v>2015.01</v>
      </c>
      <c r="I36" s="3">
        <v>285.64999999999998</v>
      </c>
      <c r="J36">
        <v>5</v>
      </c>
    </row>
    <row r="37" spans="1:10" x14ac:dyDescent="0.3">
      <c r="A37" t="s">
        <v>92</v>
      </c>
      <c r="B37" t="s">
        <v>93</v>
      </c>
      <c r="C37" t="s">
        <v>18</v>
      </c>
      <c r="D37" t="s">
        <v>60</v>
      </c>
      <c r="E37" t="s">
        <v>27</v>
      </c>
      <c r="F37" t="s">
        <v>20</v>
      </c>
      <c r="G37" s="3">
        <v>2154.6</v>
      </c>
      <c r="H37" s="3">
        <v>1508.13</v>
      </c>
      <c r="I37" s="3">
        <v>117.13</v>
      </c>
      <c r="J37">
        <v>2</v>
      </c>
    </row>
    <row r="38" spans="1:10" x14ac:dyDescent="0.3">
      <c r="A38" t="s">
        <v>94</v>
      </c>
      <c r="B38" t="s">
        <v>95</v>
      </c>
      <c r="C38" t="s">
        <v>25</v>
      </c>
      <c r="D38" t="s">
        <v>30</v>
      </c>
      <c r="E38" t="s">
        <v>23</v>
      </c>
      <c r="F38" t="s">
        <v>20</v>
      </c>
      <c r="G38" s="3">
        <v>14577.5</v>
      </c>
      <c r="H38" s="3">
        <v>8870.56</v>
      </c>
      <c r="I38" s="3">
        <v>124.9</v>
      </c>
      <c r="J38">
        <v>5</v>
      </c>
    </row>
    <row r="39" spans="1:10" x14ac:dyDescent="0.3">
      <c r="A39" t="s">
        <v>96</v>
      </c>
      <c r="B39" t="s">
        <v>97</v>
      </c>
      <c r="C39" t="s">
        <v>25</v>
      </c>
      <c r="D39" t="s">
        <v>26</v>
      </c>
      <c r="E39" t="s">
        <v>38</v>
      </c>
      <c r="F39" t="s">
        <v>15</v>
      </c>
      <c r="G39" s="3">
        <v>4353.24</v>
      </c>
      <c r="H39" s="3">
        <v>2695.67</v>
      </c>
      <c r="I39" s="3">
        <v>475.34</v>
      </c>
      <c r="J39">
        <v>2</v>
      </c>
    </row>
    <row r="40" spans="1:10" x14ac:dyDescent="0.3">
      <c r="A40" t="s">
        <v>98</v>
      </c>
      <c r="B40" t="s">
        <v>99</v>
      </c>
      <c r="C40" t="s">
        <v>25</v>
      </c>
      <c r="D40" t="s">
        <v>26</v>
      </c>
      <c r="E40" t="s">
        <v>23</v>
      </c>
      <c r="F40" t="s">
        <v>20</v>
      </c>
      <c r="G40" s="3">
        <v>6189.51</v>
      </c>
      <c r="H40" s="3">
        <v>4891.97</v>
      </c>
      <c r="I40" s="3">
        <v>182.76</v>
      </c>
      <c r="J40">
        <v>3</v>
      </c>
    </row>
    <row r="41" spans="1:10" x14ac:dyDescent="0.3">
      <c r="A41" t="s">
        <v>100</v>
      </c>
      <c r="B41" t="s">
        <v>101</v>
      </c>
      <c r="C41" t="s">
        <v>12</v>
      </c>
      <c r="D41" t="s">
        <v>13</v>
      </c>
      <c r="E41" t="s">
        <v>27</v>
      </c>
      <c r="F41" t="s">
        <v>20</v>
      </c>
      <c r="G41" s="3">
        <v>13877.5</v>
      </c>
      <c r="H41" s="3">
        <v>10447.86</v>
      </c>
      <c r="I41" s="3">
        <v>484.91</v>
      </c>
      <c r="J41">
        <v>5</v>
      </c>
    </row>
    <row r="42" spans="1:10" x14ac:dyDescent="0.3">
      <c r="A42" t="s">
        <v>102</v>
      </c>
      <c r="B42" t="s">
        <v>59</v>
      </c>
      <c r="C42" t="s">
        <v>12</v>
      </c>
      <c r="D42" t="s">
        <v>22</v>
      </c>
      <c r="E42" t="s">
        <v>23</v>
      </c>
      <c r="F42" t="s">
        <v>15</v>
      </c>
      <c r="G42" s="3">
        <v>7716.84</v>
      </c>
      <c r="H42" s="3">
        <v>5037.54</v>
      </c>
      <c r="I42" s="3">
        <v>322.27</v>
      </c>
      <c r="J42">
        <v>4</v>
      </c>
    </row>
    <row r="43" spans="1:10" x14ac:dyDescent="0.3">
      <c r="A43" t="s">
        <v>103</v>
      </c>
      <c r="B43" t="s">
        <v>104</v>
      </c>
      <c r="C43" t="s">
        <v>25</v>
      </c>
      <c r="D43" t="s">
        <v>26</v>
      </c>
      <c r="E43" t="s">
        <v>38</v>
      </c>
      <c r="F43" t="s">
        <v>15</v>
      </c>
      <c r="G43" s="3">
        <v>954.75</v>
      </c>
      <c r="H43" s="3">
        <v>544.98</v>
      </c>
      <c r="I43" s="3">
        <v>460.33</v>
      </c>
      <c r="J43">
        <v>1</v>
      </c>
    </row>
    <row r="44" spans="1:10" x14ac:dyDescent="0.3">
      <c r="A44" t="s">
        <v>105</v>
      </c>
      <c r="B44" t="s">
        <v>106</v>
      </c>
      <c r="C44" t="s">
        <v>18</v>
      </c>
      <c r="D44" t="s">
        <v>19</v>
      </c>
      <c r="E44" t="s">
        <v>38</v>
      </c>
      <c r="F44" t="s">
        <v>15</v>
      </c>
      <c r="G44" s="3">
        <v>728.06</v>
      </c>
      <c r="H44" s="3">
        <v>372.78</v>
      </c>
      <c r="I44" s="3">
        <v>195.06</v>
      </c>
      <c r="J44">
        <v>2</v>
      </c>
    </row>
    <row r="45" spans="1:10" x14ac:dyDescent="0.3">
      <c r="A45" t="s">
        <v>107</v>
      </c>
      <c r="B45" t="s">
        <v>108</v>
      </c>
      <c r="C45" t="s">
        <v>12</v>
      </c>
      <c r="D45" t="s">
        <v>13</v>
      </c>
      <c r="E45" t="s">
        <v>27</v>
      </c>
      <c r="F45" t="s">
        <v>20</v>
      </c>
      <c r="G45" s="3">
        <v>4984.46</v>
      </c>
      <c r="H45" s="3">
        <v>3596.71</v>
      </c>
      <c r="I45" s="3">
        <v>471.35</v>
      </c>
      <c r="J45">
        <v>1</v>
      </c>
    </row>
    <row r="46" spans="1:10" x14ac:dyDescent="0.3">
      <c r="A46" t="s">
        <v>109</v>
      </c>
      <c r="B46" t="s">
        <v>110</v>
      </c>
      <c r="C46" t="s">
        <v>25</v>
      </c>
      <c r="D46" t="s">
        <v>30</v>
      </c>
      <c r="E46" t="s">
        <v>14</v>
      </c>
      <c r="F46" t="s">
        <v>15</v>
      </c>
      <c r="G46" s="3">
        <v>12345.48</v>
      </c>
      <c r="H46" s="3">
        <v>7069.79</v>
      </c>
      <c r="I46" s="3">
        <v>374.01</v>
      </c>
      <c r="J46">
        <v>3</v>
      </c>
    </row>
    <row r="47" spans="1:10" x14ac:dyDescent="0.3">
      <c r="A47" t="s">
        <v>111</v>
      </c>
      <c r="B47" t="s">
        <v>112</v>
      </c>
      <c r="C47" t="s">
        <v>18</v>
      </c>
      <c r="D47" t="s">
        <v>46</v>
      </c>
      <c r="E47" t="s">
        <v>27</v>
      </c>
      <c r="F47" t="s">
        <v>15</v>
      </c>
      <c r="G47" s="3">
        <v>2842.35</v>
      </c>
      <c r="H47" s="3">
        <v>2056.2800000000002</v>
      </c>
      <c r="I47" s="3">
        <v>486.13</v>
      </c>
      <c r="J47">
        <v>1</v>
      </c>
    </row>
    <row r="48" spans="1:10" x14ac:dyDescent="0.3">
      <c r="A48" t="s">
        <v>113</v>
      </c>
      <c r="B48" t="s">
        <v>114</v>
      </c>
      <c r="C48" t="s">
        <v>25</v>
      </c>
      <c r="D48" t="s">
        <v>26</v>
      </c>
      <c r="E48" t="s">
        <v>23</v>
      </c>
      <c r="F48" t="s">
        <v>15</v>
      </c>
      <c r="G48" s="3">
        <v>10839.12</v>
      </c>
      <c r="H48" s="3">
        <v>6129.54</v>
      </c>
      <c r="I48" s="3">
        <v>406.92</v>
      </c>
      <c r="J48">
        <v>3</v>
      </c>
    </row>
    <row r="49" spans="1:10" x14ac:dyDescent="0.3">
      <c r="A49" t="s">
        <v>115</v>
      </c>
      <c r="B49" t="s">
        <v>116</v>
      </c>
      <c r="C49" t="s">
        <v>25</v>
      </c>
      <c r="D49" t="s">
        <v>26</v>
      </c>
      <c r="E49" t="s">
        <v>23</v>
      </c>
      <c r="F49" t="s">
        <v>15</v>
      </c>
      <c r="G49" s="3">
        <v>11671.26</v>
      </c>
      <c r="H49" s="3">
        <v>7098.38</v>
      </c>
      <c r="I49" s="3">
        <v>342.21</v>
      </c>
      <c r="J49">
        <v>3</v>
      </c>
    </row>
    <row r="50" spans="1:10" x14ac:dyDescent="0.3">
      <c r="A50" t="s">
        <v>117</v>
      </c>
      <c r="B50" t="s">
        <v>118</v>
      </c>
      <c r="C50" t="s">
        <v>25</v>
      </c>
      <c r="D50" t="s">
        <v>43</v>
      </c>
      <c r="E50" t="s">
        <v>23</v>
      </c>
      <c r="F50" t="s">
        <v>15</v>
      </c>
      <c r="G50" s="3">
        <v>11520.6</v>
      </c>
      <c r="H50" s="3">
        <v>7353.03</v>
      </c>
      <c r="I50" s="3">
        <v>62.84</v>
      </c>
      <c r="J50">
        <v>5</v>
      </c>
    </row>
    <row r="51" spans="1:10" x14ac:dyDescent="0.3">
      <c r="A51" t="s">
        <v>119</v>
      </c>
      <c r="B51" t="s">
        <v>120</v>
      </c>
      <c r="C51" t="s">
        <v>25</v>
      </c>
      <c r="D51" t="s">
        <v>30</v>
      </c>
      <c r="E51" t="s">
        <v>14</v>
      </c>
      <c r="F51" t="s">
        <v>20</v>
      </c>
      <c r="G51" s="3">
        <v>4195.84</v>
      </c>
      <c r="H51" s="3">
        <v>2585.1799999999998</v>
      </c>
      <c r="I51" s="3">
        <v>318.35000000000002</v>
      </c>
      <c r="J51">
        <v>4</v>
      </c>
    </row>
    <row r="52" spans="1:10" x14ac:dyDescent="0.3">
      <c r="A52" t="s">
        <v>121</v>
      </c>
      <c r="B52" t="s">
        <v>122</v>
      </c>
      <c r="C52" t="s">
        <v>12</v>
      </c>
      <c r="D52" t="s">
        <v>35</v>
      </c>
      <c r="E52" t="s">
        <v>27</v>
      </c>
      <c r="F52" t="s">
        <v>15</v>
      </c>
      <c r="G52" s="3">
        <v>18531.8</v>
      </c>
      <c r="H52" s="3">
        <v>15190.33</v>
      </c>
      <c r="I52" s="3">
        <v>343.11</v>
      </c>
      <c r="J52">
        <v>5</v>
      </c>
    </row>
    <row r="53" spans="1:10" x14ac:dyDescent="0.3">
      <c r="A53" t="s">
        <v>123</v>
      </c>
      <c r="B53" t="s">
        <v>124</v>
      </c>
      <c r="C53" t="s">
        <v>25</v>
      </c>
      <c r="D53" t="s">
        <v>30</v>
      </c>
      <c r="E53" t="s">
        <v>38</v>
      </c>
      <c r="F53" t="s">
        <v>20</v>
      </c>
      <c r="G53" s="3">
        <v>3174.6</v>
      </c>
      <c r="H53" s="3">
        <v>2698.15</v>
      </c>
      <c r="I53" s="3">
        <v>160.55000000000001</v>
      </c>
      <c r="J53">
        <v>5</v>
      </c>
    </row>
    <row r="54" spans="1:10" x14ac:dyDescent="0.3">
      <c r="A54" t="s">
        <v>125</v>
      </c>
      <c r="B54" t="s">
        <v>126</v>
      </c>
      <c r="C54" t="s">
        <v>25</v>
      </c>
      <c r="D54" t="s">
        <v>30</v>
      </c>
      <c r="E54" t="s">
        <v>23</v>
      </c>
      <c r="F54" t="s">
        <v>20</v>
      </c>
      <c r="G54" s="3">
        <v>2151</v>
      </c>
      <c r="H54" s="3">
        <v>1682.1</v>
      </c>
      <c r="I54" s="3">
        <v>497.29</v>
      </c>
      <c r="J54">
        <v>1</v>
      </c>
    </row>
    <row r="55" spans="1:10" x14ac:dyDescent="0.3">
      <c r="A55" t="s">
        <v>127</v>
      </c>
      <c r="B55" t="s">
        <v>128</v>
      </c>
      <c r="C55" t="s">
        <v>18</v>
      </c>
      <c r="D55" t="s">
        <v>55</v>
      </c>
      <c r="E55" t="s">
        <v>14</v>
      </c>
      <c r="F55" t="s">
        <v>15</v>
      </c>
      <c r="G55" s="3">
        <v>1202.01</v>
      </c>
      <c r="H55" s="3">
        <v>780.62</v>
      </c>
      <c r="I55" s="3">
        <v>346.25</v>
      </c>
      <c r="J55">
        <v>1</v>
      </c>
    </row>
    <row r="56" spans="1:10" x14ac:dyDescent="0.3">
      <c r="A56" t="s">
        <v>129</v>
      </c>
      <c r="B56" t="s">
        <v>130</v>
      </c>
      <c r="C56" t="s">
        <v>12</v>
      </c>
      <c r="D56" t="s">
        <v>35</v>
      </c>
      <c r="E56" t="s">
        <v>14</v>
      </c>
      <c r="F56" t="s">
        <v>20</v>
      </c>
      <c r="G56" s="3">
        <v>3447.6</v>
      </c>
      <c r="H56" s="3">
        <v>2444.75</v>
      </c>
      <c r="I56" s="3">
        <v>325.42</v>
      </c>
      <c r="J56">
        <v>5</v>
      </c>
    </row>
    <row r="57" spans="1:10" x14ac:dyDescent="0.3">
      <c r="A57" t="s">
        <v>131</v>
      </c>
      <c r="B57" t="s">
        <v>132</v>
      </c>
      <c r="C57" t="s">
        <v>25</v>
      </c>
      <c r="D57" t="s">
        <v>30</v>
      </c>
      <c r="E57" t="s">
        <v>23</v>
      </c>
      <c r="F57" t="s">
        <v>20</v>
      </c>
      <c r="G57" s="3">
        <v>16472.12</v>
      </c>
      <c r="H57" s="3">
        <v>9019.86</v>
      </c>
      <c r="I57" s="3">
        <v>312.18</v>
      </c>
      <c r="J57">
        <v>4</v>
      </c>
    </row>
    <row r="58" spans="1:10" x14ac:dyDescent="0.3">
      <c r="A58" t="s">
        <v>133</v>
      </c>
      <c r="B58" t="s">
        <v>134</v>
      </c>
      <c r="C58" t="s">
        <v>12</v>
      </c>
      <c r="D58" t="s">
        <v>13</v>
      </c>
      <c r="E58" t="s">
        <v>27</v>
      </c>
      <c r="F58" t="s">
        <v>20</v>
      </c>
      <c r="G58" s="3">
        <v>998.61</v>
      </c>
      <c r="H58" s="3">
        <v>642.25</v>
      </c>
      <c r="I58" s="3">
        <v>117.7</v>
      </c>
      <c r="J58">
        <v>1</v>
      </c>
    </row>
    <row r="59" spans="1:10" x14ac:dyDescent="0.3">
      <c r="A59" t="s">
        <v>135</v>
      </c>
      <c r="B59" t="s">
        <v>136</v>
      </c>
      <c r="C59" t="s">
        <v>12</v>
      </c>
      <c r="D59" t="s">
        <v>13</v>
      </c>
      <c r="E59" t="s">
        <v>38</v>
      </c>
      <c r="F59" t="s">
        <v>20</v>
      </c>
      <c r="G59" s="3">
        <v>1399.18</v>
      </c>
      <c r="H59" s="3">
        <v>1183.05</v>
      </c>
      <c r="I59" s="3">
        <v>250.89</v>
      </c>
      <c r="J59">
        <v>2</v>
      </c>
    </row>
    <row r="60" spans="1:10" x14ac:dyDescent="0.3">
      <c r="A60" t="s">
        <v>137</v>
      </c>
      <c r="B60" t="s">
        <v>138</v>
      </c>
      <c r="C60" t="s">
        <v>25</v>
      </c>
      <c r="D60" t="s">
        <v>26</v>
      </c>
      <c r="E60" t="s">
        <v>27</v>
      </c>
      <c r="F60" t="s">
        <v>20</v>
      </c>
      <c r="G60" s="3">
        <v>5872.54</v>
      </c>
      <c r="H60" s="3">
        <v>4678.7</v>
      </c>
      <c r="I60" s="3">
        <v>160.36000000000001</v>
      </c>
      <c r="J60">
        <v>2</v>
      </c>
    </row>
    <row r="61" spans="1:10" x14ac:dyDescent="0.3">
      <c r="A61" t="s">
        <v>139</v>
      </c>
      <c r="B61" t="s">
        <v>140</v>
      </c>
      <c r="C61" t="s">
        <v>18</v>
      </c>
      <c r="D61" t="s">
        <v>60</v>
      </c>
      <c r="E61" t="s">
        <v>27</v>
      </c>
      <c r="F61" t="s">
        <v>20</v>
      </c>
      <c r="G61" s="3">
        <v>4172.25</v>
      </c>
      <c r="H61" s="3">
        <v>2777.78</v>
      </c>
      <c r="I61" s="3">
        <v>469.05</v>
      </c>
      <c r="J61">
        <v>1</v>
      </c>
    </row>
    <row r="62" spans="1:10" x14ac:dyDescent="0.3">
      <c r="A62" t="s">
        <v>141</v>
      </c>
      <c r="B62" t="s">
        <v>142</v>
      </c>
      <c r="C62" t="s">
        <v>18</v>
      </c>
      <c r="D62" t="s">
        <v>19</v>
      </c>
      <c r="E62" t="s">
        <v>38</v>
      </c>
      <c r="F62" t="s">
        <v>15</v>
      </c>
      <c r="G62" s="3">
        <v>730.16</v>
      </c>
      <c r="H62" s="3">
        <v>405.43</v>
      </c>
      <c r="I62" s="3">
        <v>312.62</v>
      </c>
      <c r="J62">
        <v>1</v>
      </c>
    </row>
    <row r="63" spans="1:10" x14ac:dyDescent="0.3">
      <c r="A63" t="s">
        <v>143</v>
      </c>
      <c r="B63" t="s">
        <v>144</v>
      </c>
      <c r="C63" t="s">
        <v>25</v>
      </c>
      <c r="D63" t="s">
        <v>30</v>
      </c>
      <c r="E63" t="s">
        <v>14</v>
      </c>
      <c r="F63" t="s">
        <v>20</v>
      </c>
      <c r="G63" s="3">
        <v>5994.48</v>
      </c>
      <c r="H63" s="3">
        <v>3385.01</v>
      </c>
      <c r="I63" s="3">
        <v>109.82</v>
      </c>
      <c r="J63">
        <v>3</v>
      </c>
    </row>
    <row r="64" spans="1:10" x14ac:dyDescent="0.3">
      <c r="A64" t="s">
        <v>145</v>
      </c>
      <c r="B64" t="s">
        <v>110</v>
      </c>
      <c r="C64" t="s">
        <v>25</v>
      </c>
      <c r="D64" t="s">
        <v>26</v>
      </c>
      <c r="E64" t="s">
        <v>23</v>
      </c>
      <c r="F64" t="s">
        <v>20</v>
      </c>
      <c r="G64" s="3">
        <v>8462.84</v>
      </c>
      <c r="H64" s="3">
        <v>5024.7</v>
      </c>
      <c r="I64" s="3">
        <v>120.79</v>
      </c>
      <c r="J64">
        <v>2</v>
      </c>
    </row>
    <row r="65" spans="1:10" x14ac:dyDescent="0.3">
      <c r="A65" t="s">
        <v>146</v>
      </c>
      <c r="B65" t="s">
        <v>147</v>
      </c>
      <c r="C65" t="s">
        <v>12</v>
      </c>
      <c r="D65" t="s">
        <v>22</v>
      </c>
      <c r="E65" t="s">
        <v>23</v>
      </c>
      <c r="F65" t="s">
        <v>20</v>
      </c>
      <c r="G65" s="3">
        <v>5463.1</v>
      </c>
      <c r="H65" s="3">
        <v>4415.92</v>
      </c>
      <c r="I65" s="3">
        <v>134.29</v>
      </c>
      <c r="J65">
        <v>5</v>
      </c>
    </row>
    <row r="66" spans="1:10" x14ac:dyDescent="0.3">
      <c r="A66" t="s">
        <v>148</v>
      </c>
      <c r="B66" t="s">
        <v>149</v>
      </c>
      <c r="C66" t="s">
        <v>12</v>
      </c>
      <c r="D66" t="s">
        <v>35</v>
      </c>
      <c r="E66" t="s">
        <v>27</v>
      </c>
      <c r="F66" t="s">
        <v>20</v>
      </c>
      <c r="G66" s="3">
        <v>6228.42</v>
      </c>
      <c r="H66" s="3">
        <v>5099.47</v>
      </c>
      <c r="I66" s="3">
        <v>118.95</v>
      </c>
      <c r="J66">
        <v>2</v>
      </c>
    </row>
    <row r="67" spans="1:10" x14ac:dyDescent="0.3">
      <c r="A67" t="s">
        <v>150</v>
      </c>
      <c r="B67" t="s">
        <v>151</v>
      </c>
      <c r="C67" t="s">
        <v>18</v>
      </c>
      <c r="D67" t="s">
        <v>60</v>
      </c>
      <c r="E67" t="s">
        <v>23</v>
      </c>
      <c r="F67" t="s">
        <v>20</v>
      </c>
      <c r="G67" s="3">
        <v>13268.85</v>
      </c>
      <c r="H67" s="3">
        <v>10771.06</v>
      </c>
      <c r="I67" s="3">
        <v>51.38</v>
      </c>
      <c r="J67">
        <v>3</v>
      </c>
    </row>
    <row r="68" spans="1:10" x14ac:dyDescent="0.3">
      <c r="A68" t="s">
        <v>152</v>
      </c>
      <c r="B68" t="s">
        <v>153</v>
      </c>
      <c r="C68" t="s">
        <v>25</v>
      </c>
      <c r="D68" t="s">
        <v>30</v>
      </c>
      <c r="E68" t="s">
        <v>27</v>
      </c>
      <c r="F68" t="s">
        <v>20</v>
      </c>
      <c r="G68" s="3">
        <v>2539.1799999999998</v>
      </c>
      <c r="H68" s="3">
        <v>2123.94</v>
      </c>
      <c r="I68" s="3">
        <v>96.19</v>
      </c>
      <c r="J68">
        <v>1</v>
      </c>
    </row>
    <row r="69" spans="1:10" x14ac:dyDescent="0.3">
      <c r="A69" t="s">
        <v>154</v>
      </c>
      <c r="B69" t="s">
        <v>155</v>
      </c>
      <c r="C69" t="s">
        <v>25</v>
      </c>
      <c r="D69" t="s">
        <v>43</v>
      </c>
      <c r="E69" t="s">
        <v>27</v>
      </c>
      <c r="F69" t="s">
        <v>15</v>
      </c>
      <c r="G69" s="3">
        <v>9018.06</v>
      </c>
      <c r="H69" s="3">
        <v>6246.29</v>
      </c>
      <c r="I69" s="3">
        <v>197.94</v>
      </c>
      <c r="J69">
        <v>3</v>
      </c>
    </row>
    <row r="70" spans="1:10" x14ac:dyDescent="0.3">
      <c r="A70" t="s">
        <v>156</v>
      </c>
      <c r="B70" t="s">
        <v>157</v>
      </c>
      <c r="C70" t="s">
        <v>18</v>
      </c>
      <c r="D70" t="s">
        <v>60</v>
      </c>
      <c r="E70" t="s">
        <v>23</v>
      </c>
      <c r="F70" t="s">
        <v>15</v>
      </c>
      <c r="G70" s="3">
        <v>16740.25</v>
      </c>
      <c r="H70" s="3">
        <v>12197.21</v>
      </c>
      <c r="I70" s="3">
        <v>306.45</v>
      </c>
      <c r="J70">
        <v>5</v>
      </c>
    </row>
    <row r="71" spans="1:10" x14ac:dyDescent="0.3">
      <c r="A71" t="s">
        <v>158</v>
      </c>
      <c r="B71" t="s">
        <v>159</v>
      </c>
      <c r="C71" t="s">
        <v>25</v>
      </c>
      <c r="D71" t="s">
        <v>30</v>
      </c>
      <c r="E71" t="s">
        <v>38</v>
      </c>
      <c r="F71" t="s">
        <v>20</v>
      </c>
      <c r="G71" s="3">
        <v>8947.83</v>
      </c>
      <c r="H71" s="3">
        <v>4915.58</v>
      </c>
      <c r="I71" s="3">
        <v>487.71</v>
      </c>
      <c r="J71">
        <v>3</v>
      </c>
    </row>
    <row r="72" spans="1:10" x14ac:dyDescent="0.3">
      <c r="A72" t="s">
        <v>160</v>
      </c>
      <c r="B72" t="s">
        <v>161</v>
      </c>
      <c r="C72" t="s">
        <v>12</v>
      </c>
      <c r="D72" t="s">
        <v>35</v>
      </c>
      <c r="E72" t="s">
        <v>38</v>
      </c>
      <c r="F72" t="s">
        <v>20</v>
      </c>
      <c r="G72" s="3">
        <v>9068.35</v>
      </c>
      <c r="H72" s="3">
        <v>5246.86</v>
      </c>
      <c r="I72" s="3">
        <v>424.39</v>
      </c>
      <c r="J72">
        <v>5</v>
      </c>
    </row>
    <row r="73" spans="1:10" x14ac:dyDescent="0.3">
      <c r="A73" t="s">
        <v>162</v>
      </c>
      <c r="B73" t="s">
        <v>163</v>
      </c>
      <c r="C73" t="s">
        <v>18</v>
      </c>
      <c r="D73" t="s">
        <v>60</v>
      </c>
      <c r="E73" t="s">
        <v>14</v>
      </c>
      <c r="F73" t="s">
        <v>20</v>
      </c>
      <c r="G73" s="3">
        <v>4173.68</v>
      </c>
      <c r="H73" s="3">
        <v>2854.74</v>
      </c>
      <c r="I73" s="3">
        <v>447.01</v>
      </c>
      <c r="J73">
        <v>1</v>
      </c>
    </row>
    <row r="74" spans="1:10" x14ac:dyDescent="0.3">
      <c r="A74" t="s">
        <v>164</v>
      </c>
      <c r="B74" t="s">
        <v>165</v>
      </c>
      <c r="C74" t="s">
        <v>25</v>
      </c>
      <c r="D74" t="s">
        <v>30</v>
      </c>
      <c r="E74" t="s">
        <v>14</v>
      </c>
      <c r="F74" t="s">
        <v>20</v>
      </c>
      <c r="G74" s="3">
        <v>10008.65</v>
      </c>
      <c r="H74" s="3">
        <v>6646.42</v>
      </c>
      <c r="I74" s="3">
        <v>139.71</v>
      </c>
      <c r="J74">
        <v>5</v>
      </c>
    </row>
    <row r="75" spans="1:10" x14ac:dyDescent="0.3">
      <c r="A75" t="s">
        <v>166</v>
      </c>
      <c r="B75" t="s">
        <v>167</v>
      </c>
      <c r="C75" t="s">
        <v>25</v>
      </c>
      <c r="D75" t="s">
        <v>43</v>
      </c>
      <c r="E75" t="s">
        <v>23</v>
      </c>
      <c r="F75" t="s">
        <v>20</v>
      </c>
      <c r="G75" s="3">
        <v>840.08</v>
      </c>
      <c r="H75" s="3">
        <v>710.92</v>
      </c>
      <c r="I75" s="3">
        <v>474.09</v>
      </c>
      <c r="J75">
        <v>4</v>
      </c>
    </row>
    <row r="76" spans="1:10" x14ac:dyDescent="0.3">
      <c r="A76" t="s">
        <v>168</v>
      </c>
      <c r="B76" t="s">
        <v>169</v>
      </c>
      <c r="C76" t="s">
        <v>25</v>
      </c>
      <c r="D76" t="s">
        <v>26</v>
      </c>
      <c r="E76" t="s">
        <v>23</v>
      </c>
      <c r="F76" t="s">
        <v>15</v>
      </c>
      <c r="G76" s="3">
        <v>14810.35</v>
      </c>
      <c r="H76" s="3">
        <v>10835.22</v>
      </c>
      <c r="I76" s="3">
        <v>264.64</v>
      </c>
      <c r="J76">
        <v>5</v>
      </c>
    </row>
    <row r="77" spans="1:10" x14ac:dyDescent="0.3">
      <c r="A77" t="s">
        <v>170</v>
      </c>
      <c r="B77" t="s">
        <v>171</v>
      </c>
      <c r="C77" t="s">
        <v>18</v>
      </c>
      <c r="D77" t="s">
        <v>46</v>
      </c>
      <c r="E77" t="s">
        <v>38</v>
      </c>
      <c r="F77" t="s">
        <v>20</v>
      </c>
      <c r="G77" s="3">
        <v>22905.05</v>
      </c>
      <c r="H77" s="3">
        <v>14204.98</v>
      </c>
      <c r="I77" s="3">
        <v>337.01</v>
      </c>
      <c r="J77">
        <v>5</v>
      </c>
    </row>
    <row r="78" spans="1:10" x14ac:dyDescent="0.3">
      <c r="A78" t="s">
        <v>172</v>
      </c>
      <c r="B78" t="s">
        <v>173</v>
      </c>
      <c r="C78" t="s">
        <v>25</v>
      </c>
      <c r="D78" t="s">
        <v>30</v>
      </c>
      <c r="E78" t="s">
        <v>27</v>
      </c>
      <c r="F78" t="s">
        <v>20</v>
      </c>
      <c r="G78" s="3">
        <v>3778.04</v>
      </c>
      <c r="H78" s="3">
        <v>2507.88</v>
      </c>
      <c r="I78" s="3">
        <v>470.68</v>
      </c>
      <c r="J78">
        <v>4</v>
      </c>
    </row>
    <row r="79" spans="1:10" x14ac:dyDescent="0.3">
      <c r="A79" t="s">
        <v>174</v>
      </c>
      <c r="B79" t="s">
        <v>175</v>
      </c>
      <c r="C79" t="s">
        <v>25</v>
      </c>
      <c r="D79" t="s">
        <v>26</v>
      </c>
      <c r="E79" t="s">
        <v>27</v>
      </c>
      <c r="F79" t="s">
        <v>20</v>
      </c>
      <c r="G79" s="3">
        <v>19135.05</v>
      </c>
      <c r="H79" s="3">
        <v>10776.33</v>
      </c>
      <c r="I79" s="3">
        <v>304.10000000000002</v>
      </c>
      <c r="J79">
        <v>5</v>
      </c>
    </row>
    <row r="80" spans="1:10" x14ac:dyDescent="0.3">
      <c r="A80" t="s">
        <v>176</v>
      </c>
      <c r="B80" t="s">
        <v>177</v>
      </c>
      <c r="C80" t="s">
        <v>25</v>
      </c>
      <c r="D80" t="s">
        <v>30</v>
      </c>
      <c r="E80" t="s">
        <v>27</v>
      </c>
      <c r="F80" t="s">
        <v>15</v>
      </c>
      <c r="G80" s="3">
        <v>4553.46</v>
      </c>
      <c r="H80" s="3">
        <v>3855.3</v>
      </c>
      <c r="I80" s="3">
        <v>74.459999999999994</v>
      </c>
      <c r="J80">
        <v>2</v>
      </c>
    </row>
    <row r="81" spans="1:10" x14ac:dyDescent="0.3">
      <c r="A81" t="s">
        <v>178</v>
      </c>
      <c r="B81" t="s">
        <v>132</v>
      </c>
      <c r="C81" t="s">
        <v>12</v>
      </c>
      <c r="D81" t="s">
        <v>35</v>
      </c>
      <c r="E81" t="s">
        <v>38</v>
      </c>
      <c r="F81" t="s">
        <v>15</v>
      </c>
      <c r="G81" s="3">
        <v>2606.2800000000002</v>
      </c>
      <c r="H81" s="3">
        <v>1622.88</v>
      </c>
      <c r="I81" s="3">
        <v>214.01</v>
      </c>
      <c r="J81">
        <v>4</v>
      </c>
    </row>
    <row r="82" spans="1:10" x14ac:dyDescent="0.3">
      <c r="A82" t="s">
        <v>179</v>
      </c>
      <c r="B82" t="s">
        <v>180</v>
      </c>
      <c r="C82" t="s">
        <v>18</v>
      </c>
      <c r="D82" t="s">
        <v>46</v>
      </c>
      <c r="E82" t="s">
        <v>14</v>
      </c>
      <c r="F82" t="s">
        <v>15</v>
      </c>
      <c r="G82" s="3">
        <v>15696.85</v>
      </c>
      <c r="H82" s="3">
        <v>9184.86</v>
      </c>
      <c r="I82" s="3">
        <v>153.41</v>
      </c>
      <c r="J82">
        <v>5</v>
      </c>
    </row>
    <row r="83" spans="1:10" x14ac:dyDescent="0.3">
      <c r="A83" t="s">
        <v>181</v>
      </c>
      <c r="B83" t="s">
        <v>182</v>
      </c>
      <c r="C83" t="s">
        <v>18</v>
      </c>
      <c r="D83" t="s">
        <v>46</v>
      </c>
      <c r="E83" t="s">
        <v>38</v>
      </c>
      <c r="F83" t="s">
        <v>20</v>
      </c>
      <c r="G83" s="3">
        <v>18639</v>
      </c>
      <c r="H83" s="3">
        <v>15249.12</v>
      </c>
      <c r="I83" s="3">
        <v>285.61</v>
      </c>
      <c r="J83">
        <v>5</v>
      </c>
    </row>
    <row r="84" spans="1:10" x14ac:dyDescent="0.3">
      <c r="A84" t="s">
        <v>183</v>
      </c>
      <c r="B84" t="s">
        <v>184</v>
      </c>
      <c r="C84" t="s">
        <v>12</v>
      </c>
      <c r="D84" t="s">
        <v>35</v>
      </c>
      <c r="E84" t="s">
        <v>23</v>
      </c>
      <c r="F84" t="s">
        <v>20</v>
      </c>
      <c r="G84" s="3">
        <v>14173.8</v>
      </c>
      <c r="H84" s="3">
        <v>11493.92</v>
      </c>
      <c r="I84" s="3">
        <v>166.67</v>
      </c>
      <c r="J84">
        <v>5</v>
      </c>
    </row>
    <row r="85" spans="1:10" x14ac:dyDescent="0.3">
      <c r="A85" t="s">
        <v>185</v>
      </c>
      <c r="B85" t="s">
        <v>186</v>
      </c>
      <c r="C85" t="s">
        <v>18</v>
      </c>
      <c r="D85" t="s">
        <v>19</v>
      </c>
      <c r="E85" t="s">
        <v>38</v>
      </c>
      <c r="F85" t="s">
        <v>20</v>
      </c>
      <c r="G85" s="3">
        <v>8811.27</v>
      </c>
      <c r="H85" s="3">
        <v>6023.72</v>
      </c>
      <c r="I85" s="3">
        <v>204.94</v>
      </c>
      <c r="J85">
        <v>3</v>
      </c>
    </row>
    <row r="86" spans="1:10" x14ac:dyDescent="0.3">
      <c r="A86" t="s">
        <v>187</v>
      </c>
      <c r="B86" t="s">
        <v>188</v>
      </c>
      <c r="C86" t="s">
        <v>12</v>
      </c>
      <c r="D86" t="s">
        <v>22</v>
      </c>
      <c r="E86" t="s">
        <v>27</v>
      </c>
      <c r="F86" t="s">
        <v>20</v>
      </c>
      <c r="G86" s="3">
        <v>9477.08</v>
      </c>
      <c r="H86" s="3">
        <v>6564.72</v>
      </c>
      <c r="I86" s="3">
        <v>400.88</v>
      </c>
      <c r="J86">
        <v>4</v>
      </c>
    </row>
    <row r="87" spans="1:10" x14ac:dyDescent="0.3">
      <c r="A87" t="s">
        <v>189</v>
      </c>
      <c r="B87" t="s">
        <v>190</v>
      </c>
      <c r="C87" t="s">
        <v>18</v>
      </c>
      <c r="D87" t="s">
        <v>46</v>
      </c>
      <c r="E87" t="s">
        <v>27</v>
      </c>
      <c r="F87" t="s">
        <v>20</v>
      </c>
      <c r="G87" s="3">
        <v>8343.4500000000007</v>
      </c>
      <c r="H87" s="3">
        <v>4687.3599999999997</v>
      </c>
      <c r="I87" s="3">
        <v>174.09</v>
      </c>
      <c r="J87">
        <v>5</v>
      </c>
    </row>
    <row r="88" spans="1:10" x14ac:dyDescent="0.3">
      <c r="A88" t="s">
        <v>191</v>
      </c>
      <c r="B88" t="s">
        <v>192</v>
      </c>
      <c r="C88" t="s">
        <v>18</v>
      </c>
      <c r="D88" t="s">
        <v>55</v>
      </c>
      <c r="E88" t="s">
        <v>23</v>
      </c>
      <c r="F88" t="s">
        <v>20</v>
      </c>
      <c r="G88" s="3">
        <v>628.64</v>
      </c>
      <c r="H88" s="3">
        <v>390.04</v>
      </c>
      <c r="I88" s="3">
        <v>361.71</v>
      </c>
      <c r="J88">
        <v>2</v>
      </c>
    </row>
    <row r="89" spans="1:10" x14ac:dyDescent="0.3">
      <c r="A89" t="s">
        <v>193</v>
      </c>
      <c r="B89" t="s">
        <v>194</v>
      </c>
      <c r="C89" t="s">
        <v>18</v>
      </c>
      <c r="D89" t="s">
        <v>19</v>
      </c>
      <c r="E89" t="s">
        <v>14</v>
      </c>
      <c r="F89" t="s">
        <v>20</v>
      </c>
      <c r="G89" s="3">
        <v>9990.7199999999993</v>
      </c>
      <c r="H89" s="3">
        <v>8192.6</v>
      </c>
      <c r="I89" s="3">
        <v>283.32</v>
      </c>
      <c r="J89">
        <v>4</v>
      </c>
    </row>
    <row r="90" spans="1:10" x14ac:dyDescent="0.3">
      <c r="A90" t="s">
        <v>195</v>
      </c>
      <c r="B90" t="s">
        <v>196</v>
      </c>
      <c r="C90" t="s">
        <v>25</v>
      </c>
      <c r="D90" t="s">
        <v>43</v>
      </c>
      <c r="E90" t="s">
        <v>23</v>
      </c>
      <c r="F90" t="s">
        <v>15</v>
      </c>
      <c r="G90" s="3">
        <v>17159.04</v>
      </c>
      <c r="H90" s="3">
        <v>9520.02</v>
      </c>
      <c r="I90" s="3">
        <v>463.9</v>
      </c>
      <c r="J90">
        <v>4</v>
      </c>
    </row>
    <row r="91" spans="1:10" x14ac:dyDescent="0.3">
      <c r="A91" t="s">
        <v>197</v>
      </c>
      <c r="B91" t="s">
        <v>198</v>
      </c>
      <c r="C91" t="s">
        <v>18</v>
      </c>
      <c r="D91" t="s">
        <v>46</v>
      </c>
      <c r="E91" t="s">
        <v>23</v>
      </c>
      <c r="F91" t="s">
        <v>15</v>
      </c>
      <c r="G91" s="3">
        <v>16022.95</v>
      </c>
      <c r="H91" s="3">
        <v>10560.51</v>
      </c>
      <c r="I91" s="3">
        <v>488.51</v>
      </c>
      <c r="J91">
        <v>5</v>
      </c>
    </row>
    <row r="92" spans="1:10" x14ac:dyDescent="0.3">
      <c r="A92" t="s">
        <v>199</v>
      </c>
      <c r="B92" t="s">
        <v>200</v>
      </c>
      <c r="C92" t="s">
        <v>18</v>
      </c>
      <c r="D92" t="s">
        <v>19</v>
      </c>
      <c r="E92" t="s">
        <v>38</v>
      </c>
      <c r="F92" t="s">
        <v>20</v>
      </c>
      <c r="G92" s="3">
        <v>9407.9</v>
      </c>
      <c r="H92" s="3">
        <v>6792.68</v>
      </c>
      <c r="I92" s="3">
        <v>302.35000000000002</v>
      </c>
      <c r="J92">
        <v>2</v>
      </c>
    </row>
    <row r="93" spans="1:10" x14ac:dyDescent="0.3">
      <c r="A93" t="s">
        <v>201</v>
      </c>
      <c r="B93" t="s">
        <v>202</v>
      </c>
      <c r="C93" t="s">
        <v>25</v>
      </c>
      <c r="D93" t="s">
        <v>43</v>
      </c>
      <c r="E93" t="s">
        <v>38</v>
      </c>
      <c r="F93" t="s">
        <v>15</v>
      </c>
      <c r="G93" s="3">
        <v>5860.78</v>
      </c>
      <c r="H93" s="3">
        <v>4820.5200000000004</v>
      </c>
      <c r="I93" s="3">
        <v>399.79</v>
      </c>
      <c r="J93">
        <v>2</v>
      </c>
    </row>
    <row r="94" spans="1:10" x14ac:dyDescent="0.3">
      <c r="A94" t="s">
        <v>203</v>
      </c>
      <c r="B94" t="s">
        <v>204</v>
      </c>
      <c r="C94" t="s">
        <v>12</v>
      </c>
      <c r="D94" t="s">
        <v>35</v>
      </c>
      <c r="E94" t="s">
        <v>27</v>
      </c>
      <c r="F94" t="s">
        <v>20</v>
      </c>
      <c r="G94" s="3">
        <v>6567.96</v>
      </c>
      <c r="H94" s="3">
        <v>3603.02</v>
      </c>
      <c r="I94" s="3">
        <v>268.83</v>
      </c>
      <c r="J94">
        <v>3</v>
      </c>
    </row>
    <row r="95" spans="1:10" x14ac:dyDescent="0.3">
      <c r="A95" t="s">
        <v>205</v>
      </c>
      <c r="B95" t="s">
        <v>108</v>
      </c>
      <c r="C95" t="s">
        <v>18</v>
      </c>
      <c r="D95" t="s">
        <v>60</v>
      </c>
      <c r="E95" t="s">
        <v>38</v>
      </c>
      <c r="F95" t="s">
        <v>20</v>
      </c>
      <c r="G95" s="3">
        <v>11085.12</v>
      </c>
      <c r="H95" s="3">
        <v>8336.86</v>
      </c>
      <c r="I95" s="3">
        <v>305.02</v>
      </c>
      <c r="J95">
        <v>4</v>
      </c>
    </row>
    <row r="96" spans="1:10" x14ac:dyDescent="0.3">
      <c r="A96" t="s">
        <v>206</v>
      </c>
      <c r="B96" t="s">
        <v>200</v>
      </c>
      <c r="C96" t="s">
        <v>25</v>
      </c>
      <c r="D96" t="s">
        <v>43</v>
      </c>
      <c r="E96" t="s">
        <v>23</v>
      </c>
      <c r="F96" t="s">
        <v>15</v>
      </c>
      <c r="G96" s="3">
        <v>1060.3599999999999</v>
      </c>
      <c r="H96" s="3">
        <v>675.83</v>
      </c>
      <c r="I96" s="3">
        <v>227.53</v>
      </c>
      <c r="J96">
        <v>1</v>
      </c>
    </row>
    <row r="97" spans="1:10" x14ac:dyDescent="0.3">
      <c r="A97" t="s">
        <v>207</v>
      </c>
      <c r="B97" t="s">
        <v>208</v>
      </c>
      <c r="C97" t="s">
        <v>18</v>
      </c>
      <c r="D97" t="s">
        <v>55</v>
      </c>
      <c r="E97" t="s">
        <v>14</v>
      </c>
      <c r="F97" t="s">
        <v>20</v>
      </c>
      <c r="G97" s="3">
        <v>16384.48</v>
      </c>
      <c r="H97" s="3">
        <v>11248.64</v>
      </c>
      <c r="I97" s="3">
        <v>474.28</v>
      </c>
      <c r="J97">
        <v>4</v>
      </c>
    </row>
    <row r="98" spans="1:10" x14ac:dyDescent="0.3">
      <c r="A98" t="s">
        <v>209</v>
      </c>
      <c r="B98" t="s">
        <v>210</v>
      </c>
      <c r="C98" t="s">
        <v>12</v>
      </c>
      <c r="D98" t="s">
        <v>22</v>
      </c>
      <c r="E98" t="s">
        <v>27</v>
      </c>
      <c r="F98" t="s">
        <v>15</v>
      </c>
      <c r="G98" s="3">
        <v>16034.5</v>
      </c>
      <c r="H98" s="3">
        <v>8326.73</v>
      </c>
      <c r="I98" s="3">
        <v>250.68</v>
      </c>
      <c r="J98">
        <v>5</v>
      </c>
    </row>
    <row r="99" spans="1:10" x14ac:dyDescent="0.3">
      <c r="A99" t="s">
        <v>211</v>
      </c>
      <c r="B99" t="s">
        <v>87</v>
      </c>
      <c r="C99" t="s">
        <v>25</v>
      </c>
      <c r="D99" t="s">
        <v>30</v>
      </c>
      <c r="E99" t="s">
        <v>27</v>
      </c>
      <c r="F99" t="s">
        <v>15</v>
      </c>
      <c r="G99" s="3">
        <v>2273.88</v>
      </c>
      <c r="H99" s="3">
        <v>1433.39</v>
      </c>
      <c r="I99" s="3">
        <v>213.21</v>
      </c>
      <c r="J99">
        <v>4</v>
      </c>
    </row>
    <row r="100" spans="1:10" x14ac:dyDescent="0.3">
      <c r="A100" t="s">
        <v>212</v>
      </c>
      <c r="B100" t="s">
        <v>213</v>
      </c>
      <c r="C100" t="s">
        <v>18</v>
      </c>
      <c r="D100" t="s">
        <v>55</v>
      </c>
      <c r="E100" t="s">
        <v>14</v>
      </c>
      <c r="F100" t="s">
        <v>20</v>
      </c>
      <c r="G100" s="3">
        <v>7331.08</v>
      </c>
      <c r="H100" s="3">
        <v>5571.35</v>
      </c>
      <c r="I100" s="3">
        <v>404.25</v>
      </c>
      <c r="J100">
        <v>4</v>
      </c>
    </row>
    <row r="101" spans="1:10" x14ac:dyDescent="0.3">
      <c r="A101" t="s">
        <v>214</v>
      </c>
      <c r="B101" t="s">
        <v>173</v>
      </c>
      <c r="C101" t="s">
        <v>25</v>
      </c>
      <c r="D101" t="s">
        <v>43</v>
      </c>
      <c r="E101" t="s">
        <v>27</v>
      </c>
      <c r="F101" t="s">
        <v>15</v>
      </c>
      <c r="G101" s="3">
        <v>3199.4</v>
      </c>
      <c r="H101" s="3">
        <v>2060.88</v>
      </c>
      <c r="I101" s="3">
        <v>83.66</v>
      </c>
      <c r="J101">
        <v>4</v>
      </c>
    </row>
    <row r="102" spans="1:10" x14ac:dyDescent="0.3">
      <c r="A102" t="s">
        <v>215</v>
      </c>
      <c r="B102" t="s">
        <v>216</v>
      </c>
      <c r="C102" t="s">
        <v>18</v>
      </c>
      <c r="D102" t="s">
        <v>55</v>
      </c>
      <c r="E102" t="s">
        <v>27</v>
      </c>
      <c r="F102" t="s">
        <v>15</v>
      </c>
      <c r="G102" s="3">
        <v>8526.56</v>
      </c>
      <c r="H102" s="3">
        <v>5448.41</v>
      </c>
      <c r="I102" s="3">
        <v>51.75</v>
      </c>
      <c r="J102">
        <v>4</v>
      </c>
    </row>
    <row r="103" spans="1:10" x14ac:dyDescent="0.3">
      <c r="A103" t="s">
        <v>217</v>
      </c>
      <c r="B103" t="s">
        <v>218</v>
      </c>
      <c r="C103" t="s">
        <v>25</v>
      </c>
      <c r="D103" t="s">
        <v>26</v>
      </c>
      <c r="E103" t="s">
        <v>27</v>
      </c>
      <c r="F103" t="s">
        <v>15</v>
      </c>
      <c r="G103" s="3">
        <v>11322.09</v>
      </c>
      <c r="H103" s="3">
        <v>8354.7000000000007</v>
      </c>
      <c r="I103" s="3">
        <v>405.97</v>
      </c>
      <c r="J103">
        <v>3</v>
      </c>
    </row>
    <row r="104" spans="1:10" x14ac:dyDescent="0.3">
      <c r="A104" t="s">
        <v>219</v>
      </c>
      <c r="B104" t="s">
        <v>220</v>
      </c>
      <c r="C104" t="s">
        <v>18</v>
      </c>
      <c r="D104" t="s">
        <v>60</v>
      </c>
      <c r="E104" t="s">
        <v>38</v>
      </c>
      <c r="F104" t="s">
        <v>15</v>
      </c>
      <c r="G104" s="3">
        <v>5590.34</v>
      </c>
      <c r="H104" s="3">
        <v>4478.92</v>
      </c>
      <c r="I104" s="3">
        <v>491.87</v>
      </c>
      <c r="J104">
        <v>2</v>
      </c>
    </row>
    <row r="105" spans="1:10" x14ac:dyDescent="0.3">
      <c r="A105" t="s">
        <v>221</v>
      </c>
      <c r="B105" t="s">
        <v>114</v>
      </c>
      <c r="C105" t="s">
        <v>18</v>
      </c>
      <c r="D105" t="s">
        <v>19</v>
      </c>
      <c r="E105" t="s">
        <v>27</v>
      </c>
      <c r="F105" t="s">
        <v>20</v>
      </c>
      <c r="G105" s="3">
        <v>4547.7299999999996</v>
      </c>
      <c r="H105" s="3">
        <v>3466.56</v>
      </c>
      <c r="I105" s="3">
        <v>496.68</v>
      </c>
      <c r="J105">
        <v>1</v>
      </c>
    </row>
    <row r="106" spans="1:10" x14ac:dyDescent="0.3">
      <c r="A106" t="s">
        <v>222</v>
      </c>
      <c r="B106" t="s">
        <v>223</v>
      </c>
      <c r="C106" t="s">
        <v>12</v>
      </c>
      <c r="D106" t="s">
        <v>13</v>
      </c>
      <c r="E106" t="s">
        <v>23</v>
      </c>
      <c r="F106" t="s">
        <v>20</v>
      </c>
      <c r="G106" s="3">
        <v>22930.6</v>
      </c>
      <c r="H106" s="3">
        <v>12490.6</v>
      </c>
      <c r="I106" s="3">
        <v>199.85</v>
      </c>
      <c r="J106">
        <v>5</v>
      </c>
    </row>
    <row r="107" spans="1:10" x14ac:dyDescent="0.3">
      <c r="A107" t="s">
        <v>224</v>
      </c>
      <c r="B107" t="s">
        <v>225</v>
      </c>
      <c r="C107" t="s">
        <v>25</v>
      </c>
      <c r="D107" t="s">
        <v>26</v>
      </c>
      <c r="E107" t="s">
        <v>23</v>
      </c>
      <c r="F107" t="s">
        <v>15</v>
      </c>
      <c r="G107" s="3">
        <v>5098.84</v>
      </c>
      <c r="H107" s="3">
        <v>3740.89</v>
      </c>
      <c r="I107" s="3">
        <v>149.08000000000001</v>
      </c>
      <c r="J107">
        <v>4</v>
      </c>
    </row>
    <row r="108" spans="1:10" x14ac:dyDescent="0.3">
      <c r="A108" t="s">
        <v>226</v>
      </c>
      <c r="B108" t="s">
        <v>11</v>
      </c>
      <c r="C108" t="s">
        <v>12</v>
      </c>
      <c r="D108" t="s">
        <v>22</v>
      </c>
      <c r="E108" t="s">
        <v>38</v>
      </c>
      <c r="F108" t="s">
        <v>20</v>
      </c>
      <c r="G108" s="3">
        <v>6571.24</v>
      </c>
      <c r="H108" s="3">
        <v>4615.2</v>
      </c>
      <c r="I108" s="3">
        <v>134.63</v>
      </c>
      <c r="J108">
        <v>2</v>
      </c>
    </row>
    <row r="109" spans="1:10" x14ac:dyDescent="0.3">
      <c r="A109" t="s">
        <v>227</v>
      </c>
      <c r="B109" t="s">
        <v>228</v>
      </c>
      <c r="C109" t="s">
        <v>25</v>
      </c>
      <c r="D109" t="s">
        <v>30</v>
      </c>
      <c r="E109" t="s">
        <v>38</v>
      </c>
      <c r="F109" t="s">
        <v>20</v>
      </c>
      <c r="G109" s="3">
        <v>5680.36</v>
      </c>
      <c r="H109" s="3">
        <v>4348.83</v>
      </c>
      <c r="I109" s="3">
        <v>209.2</v>
      </c>
      <c r="J109">
        <v>2</v>
      </c>
    </row>
    <row r="110" spans="1:10" x14ac:dyDescent="0.3">
      <c r="A110" t="s">
        <v>229</v>
      </c>
      <c r="B110" t="s">
        <v>230</v>
      </c>
      <c r="C110" t="s">
        <v>12</v>
      </c>
      <c r="D110" t="s">
        <v>13</v>
      </c>
      <c r="E110" t="s">
        <v>38</v>
      </c>
      <c r="F110" t="s">
        <v>15</v>
      </c>
      <c r="G110" s="3">
        <v>8681.74</v>
      </c>
      <c r="H110" s="3">
        <v>4576.21</v>
      </c>
      <c r="I110" s="3">
        <v>54.59</v>
      </c>
      <c r="J110">
        <v>2</v>
      </c>
    </row>
    <row r="111" spans="1:10" x14ac:dyDescent="0.3">
      <c r="A111" t="s">
        <v>231</v>
      </c>
      <c r="B111" t="s">
        <v>169</v>
      </c>
      <c r="C111" t="s">
        <v>12</v>
      </c>
      <c r="D111" t="s">
        <v>22</v>
      </c>
      <c r="E111" t="s">
        <v>14</v>
      </c>
      <c r="F111" t="s">
        <v>15</v>
      </c>
      <c r="G111" s="3">
        <v>14329.5</v>
      </c>
      <c r="H111" s="3">
        <v>8034.51</v>
      </c>
      <c r="I111" s="3">
        <v>434.6</v>
      </c>
      <c r="J111">
        <v>5</v>
      </c>
    </row>
    <row r="112" spans="1:10" x14ac:dyDescent="0.3">
      <c r="A112" t="s">
        <v>232</v>
      </c>
      <c r="B112" t="s">
        <v>233</v>
      </c>
      <c r="C112" t="s">
        <v>25</v>
      </c>
      <c r="D112" t="s">
        <v>30</v>
      </c>
      <c r="E112" t="s">
        <v>38</v>
      </c>
      <c r="F112" t="s">
        <v>15</v>
      </c>
      <c r="G112" s="3">
        <v>6545.28</v>
      </c>
      <c r="H112" s="3">
        <v>5354.74</v>
      </c>
      <c r="I112" s="3">
        <v>342.91</v>
      </c>
      <c r="J112">
        <v>4</v>
      </c>
    </row>
    <row r="113" spans="1:10" x14ac:dyDescent="0.3">
      <c r="A113" t="s">
        <v>234</v>
      </c>
      <c r="B113" t="s">
        <v>74</v>
      </c>
      <c r="C113" t="s">
        <v>12</v>
      </c>
      <c r="D113" t="s">
        <v>35</v>
      </c>
      <c r="E113" t="s">
        <v>38</v>
      </c>
      <c r="F113" t="s">
        <v>20</v>
      </c>
      <c r="G113" s="3">
        <v>2975.78</v>
      </c>
      <c r="H113" s="3">
        <v>1510.12</v>
      </c>
      <c r="I113" s="3">
        <v>108.2</v>
      </c>
      <c r="J113">
        <v>2</v>
      </c>
    </row>
    <row r="114" spans="1:10" x14ac:dyDescent="0.3">
      <c r="A114" t="s">
        <v>235</v>
      </c>
      <c r="B114" t="s">
        <v>236</v>
      </c>
      <c r="C114" t="s">
        <v>18</v>
      </c>
      <c r="D114" t="s">
        <v>46</v>
      </c>
      <c r="E114" t="s">
        <v>23</v>
      </c>
      <c r="F114" t="s">
        <v>20</v>
      </c>
      <c r="G114" s="3">
        <v>3712.6</v>
      </c>
      <c r="H114" s="3">
        <v>2427.75</v>
      </c>
      <c r="I114" s="3">
        <v>471.3</v>
      </c>
      <c r="J114">
        <v>2</v>
      </c>
    </row>
    <row r="115" spans="1:10" x14ac:dyDescent="0.3">
      <c r="A115" t="s">
        <v>237</v>
      </c>
      <c r="B115" t="s">
        <v>238</v>
      </c>
      <c r="C115" t="s">
        <v>18</v>
      </c>
      <c r="D115" t="s">
        <v>55</v>
      </c>
      <c r="E115" t="s">
        <v>38</v>
      </c>
      <c r="F115" t="s">
        <v>15</v>
      </c>
      <c r="G115" s="3">
        <v>2347.37</v>
      </c>
      <c r="H115" s="3">
        <v>1811.55</v>
      </c>
      <c r="I115" s="3">
        <v>434.69</v>
      </c>
      <c r="J115">
        <v>1</v>
      </c>
    </row>
    <row r="116" spans="1:10" x14ac:dyDescent="0.3">
      <c r="A116" t="s">
        <v>239</v>
      </c>
      <c r="B116" t="s">
        <v>240</v>
      </c>
      <c r="C116" t="s">
        <v>12</v>
      </c>
      <c r="D116" t="s">
        <v>13</v>
      </c>
      <c r="E116" t="s">
        <v>38</v>
      </c>
      <c r="F116" t="s">
        <v>15</v>
      </c>
      <c r="G116" s="3">
        <v>7892.68</v>
      </c>
      <c r="H116" s="3">
        <v>5886.6</v>
      </c>
      <c r="I116" s="3">
        <v>431.22</v>
      </c>
      <c r="J116">
        <v>2</v>
      </c>
    </row>
    <row r="117" spans="1:10" x14ac:dyDescent="0.3">
      <c r="A117" t="s">
        <v>241</v>
      </c>
      <c r="B117" t="s">
        <v>242</v>
      </c>
      <c r="C117" t="s">
        <v>25</v>
      </c>
      <c r="D117" t="s">
        <v>26</v>
      </c>
      <c r="E117" t="s">
        <v>23</v>
      </c>
      <c r="F117" t="s">
        <v>20</v>
      </c>
      <c r="G117" s="3">
        <v>10235.64</v>
      </c>
      <c r="H117" s="3">
        <v>6982.58</v>
      </c>
      <c r="I117" s="3">
        <v>445.39</v>
      </c>
      <c r="J117">
        <v>4</v>
      </c>
    </row>
    <row r="118" spans="1:10" x14ac:dyDescent="0.3">
      <c r="A118" t="s">
        <v>243</v>
      </c>
      <c r="B118" t="s">
        <v>169</v>
      </c>
      <c r="C118" t="s">
        <v>18</v>
      </c>
      <c r="D118" t="s">
        <v>46</v>
      </c>
      <c r="E118" t="s">
        <v>14</v>
      </c>
      <c r="F118" t="s">
        <v>20</v>
      </c>
      <c r="G118" s="3">
        <v>22436.2</v>
      </c>
      <c r="H118" s="3">
        <v>16947.259999999998</v>
      </c>
      <c r="I118" s="3">
        <v>322.37</v>
      </c>
      <c r="J118">
        <v>5</v>
      </c>
    </row>
    <row r="119" spans="1:10" x14ac:dyDescent="0.3">
      <c r="A119" t="s">
        <v>244</v>
      </c>
      <c r="B119" t="s">
        <v>245</v>
      </c>
      <c r="C119" t="s">
        <v>12</v>
      </c>
      <c r="D119" t="s">
        <v>35</v>
      </c>
      <c r="E119" t="s">
        <v>38</v>
      </c>
      <c r="F119" t="s">
        <v>20</v>
      </c>
      <c r="G119" s="3">
        <v>9524.7000000000007</v>
      </c>
      <c r="H119" s="3">
        <v>5854.67</v>
      </c>
      <c r="I119" s="3">
        <v>207.07</v>
      </c>
      <c r="J119">
        <v>3</v>
      </c>
    </row>
    <row r="120" spans="1:10" x14ac:dyDescent="0.3">
      <c r="A120" t="s">
        <v>246</v>
      </c>
      <c r="B120" t="s">
        <v>247</v>
      </c>
      <c r="C120" t="s">
        <v>25</v>
      </c>
      <c r="D120" t="s">
        <v>26</v>
      </c>
      <c r="E120" t="s">
        <v>38</v>
      </c>
      <c r="F120" t="s">
        <v>15</v>
      </c>
      <c r="G120" s="3">
        <v>3125.8</v>
      </c>
      <c r="H120" s="3">
        <v>1693.32</v>
      </c>
      <c r="I120" s="3">
        <v>50.13</v>
      </c>
      <c r="J120">
        <v>5</v>
      </c>
    </row>
    <row r="121" spans="1:10" x14ac:dyDescent="0.3">
      <c r="A121" t="s">
        <v>248</v>
      </c>
      <c r="B121" t="s">
        <v>249</v>
      </c>
      <c r="C121" t="s">
        <v>12</v>
      </c>
      <c r="D121" t="s">
        <v>22</v>
      </c>
      <c r="E121" t="s">
        <v>14</v>
      </c>
      <c r="F121" t="s">
        <v>20</v>
      </c>
      <c r="G121" s="3">
        <v>2404.0500000000002</v>
      </c>
      <c r="H121" s="3">
        <v>1493.87</v>
      </c>
      <c r="I121" s="3">
        <v>483.93</v>
      </c>
      <c r="J121">
        <v>1</v>
      </c>
    </row>
    <row r="122" spans="1:10" x14ac:dyDescent="0.3">
      <c r="A122" t="s">
        <v>250</v>
      </c>
      <c r="B122" t="s">
        <v>251</v>
      </c>
      <c r="C122" t="s">
        <v>25</v>
      </c>
      <c r="D122" t="s">
        <v>30</v>
      </c>
      <c r="E122" t="s">
        <v>23</v>
      </c>
      <c r="F122" t="s">
        <v>20</v>
      </c>
      <c r="G122" s="3">
        <v>20482.150000000001</v>
      </c>
      <c r="H122" s="3">
        <v>10327.17</v>
      </c>
      <c r="I122" s="3">
        <v>490.86</v>
      </c>
      <c r="J122">
        <v>5</v>
      </c>
    </row>
    <row r="123" spans="1:10" x14ac:dyDescent="0.3">
      <c r="A123" t="s">
        <v>252</v>
      </c>
      <c r="B123" t="s">
        <v>161</v>
      </c>
      <c r="C123" t="s">
        <v>12</v>
      </c>
      <c r="D123" t="s">
        <v>13</v>
      </c>
      <c r="E123" t="s">
        <v>14</v>
      </c>
      <c r="F123" t="s">
        <v>15</v>
      </c>
      <c r="G123" s="3">
        <v>8096.2</v>
      </c>
      <c r="H123" s="3">
        <v>5670.94</v>
      </c>
      <c r="I123" s="3">
        <v>410.93</v>
      </c>
      <c r="J123">
        <v>4</v>
      </c>
    </row>
    <row r="124" spans="1:10" x14ac:dyDescent="0.3">
      <c r="A124" t="s">
        <v>253</v>
      </c>
      <c r="B124" t="s">
        <v>34</v>
      </c>
      <c r="C124" t="s">
        <v>18</v>
      </c>
      <c r="D124" t="s">
        <v>55</v>
      </c>
      <c r="E124" t="s">
        <v>14</v>
      </c>
      <c r="F124" t="s">
        <v>15</v>
      </c>
      <c r="G124" s="3">
        <v>17509.28</v>
      </c>
      <c r="H124" s="3">
        <v>9827.67</v>
      </c>
      <c r="I124" s="3">
        <v>444.17</v>
      </c>
      <c r="J124">
        <v>4</v>
      </c>
    </row>
    <row r="125" spans="1:10" x14ac:dyDescent="0.3">
      <c r="A125" t="s">
        <v>254</v>
      </c>
      <c r="B125" t="s">
        <v>255</v>
      </c>
      <c r="C125" t="s">
        <v>18</v>
      </c>
      <c r="D125" t="s">
        <v>60</v>
      </c>
      <c r="E125" t="s">
        <v>23</v>
      </c>
      <c r="F125" t="s">
        <v>15</v>
      </c>
      <c r="G125" s="3">
        <v>4880.9799999999996</v>
      </c>
      <c r="H125" s="3">
        <v>3163.02</v>
      </c>
      <c r="I125" s="3">
        <v>455.01</v>
      </c>
      <c r="J125">
        <v>2</v>
      </c>
    </row>
    <row r="126" spans="1:10" x14ac:dyDescent="0.3">
      <c r="A126" t="s">
        <v>256</v>
      </c>
      <c r="B126" t="s">
        <v>257</v>
      </c>
      <c r="C126" t="s">
        <v>12</v>
      </c>
      <c r="D126" t="s">
        <v>35</v>
      </c>
      <c r="E126" t="s">
        <v>38</v>
      </c>
      <c r="F126" t="s">
        <v>15</v>
      </c>
      <c r="G126" s="3">
        <v>5109.3</v>
      </c>
      <c r="H126" s="3">
        <v>4157.29</v>
      </c>
      <c r="I126" s="3">
        <v>251.69</v>
      </c>
      <c r="J126">
        <v>5</v>
      </c>
    </row>
    <row r="127" spans="1:10" x14ac:dyDescent="0.3">
      <c r="A127" t="s">
        <v>258</v>
      </c>
      <c r="B127" t="s">
        <v>259</v>
      </c>
      <c r="C127" t="s">
        <v>25</v>
      </c>
      <c r="D127" t="s">
        <v>26</v>
      </c>
      <c r="E127" t="s">
        <v>38</v>
      </c>
      <c r="F127" t="s">
        <v>15</v>
      </c>
      <c r="G127" s="3">
        <v>6926.79</v>
      </c>
      <c r="H127" s="3">
        <v>4921.6499999999996</v>
      </c>
      <c r="I127" s="3">
        <v>92.54</v>
      </c>
      <c r="J127">
        <v>3</v>
      </c>
    </row>
    <row r="128" spans="1:10" x14ac:dyDescent="0.3">
      <c r="A128" t="s">
        <v>260</v>
      </c>
      <c r="B128" t="s">
        <v>233</v>
      </c>
      <c r="C128" t="s">
        <v>12</v>
      </c>
      <c r="D128" t="s">
        <v>22</v>
      </c>
      <c r="E128" t="s">
        <v>23</v>
      </c>
      <c r="F128" t="s">
        <v>15</v>
      </c>
      <c r="G128" s="3">
        <v>23458.45</v>
      </c>
      <c r="H128" s="3">
        <v>15549.05</v>
      </c>
      <c r="I128" s="3">
        <v>498.47</v>
      </c>
      <c r="J128">
        <v>5</v>
      </c>
    </row>
    <row r="129" spans="1:10" x14ac:dyDescent="0.3">
      <c r="A129" t="s">
        <v>261</v>
      </c>
      <c r="B129" t="s">
        <v>262</v>
      </c>
      <c r="C129" t="s">
        <v>12</v>
      </c>
      <c r="D129" t="s">
        <v>35</v>
      </c>
      <c r="E129" t="s">
        <v>14</v>
      </c>
      <c r="F129" t="s">
        <v>20</v>
      </c>
      <c r="G129" s="3">
        <v>9765.2999999999993</v>
      </c>
      <c r="H129" s="3">
        <v>7231.76</v>
      </c>
      <c r="I129" s="3">
        <v>305.64999999999998</v>
      </c>
      <c r="J129">
        <v>2</v>
      </c>
    </row>
    <row r="130" spans="1:10" x14ac:dyDescent="0.3">
      <c r="A130" t="s">
        <v>263</v>
      </c>
      <c r="B130" t="s">
        <v>264</v>
      </c>
      <c r="C130" t="s">
        <v>18</v>
      </c>
      <c r="D130" t="s">
        <v>55</v>
      </c>
      <c r="E130" t="s">
        <v>38</v>
      </c>
      <c r="F130" t="s">
        <v>15</v>
      </c>
      <c r="G130" s="3">
        <v>14658.66</v>
      </c>
      <c r="H130" s="3">
        <v>8791.08</v>
      </c>
      <c r="I130" s="3">
        <v>186.04</v>
      </c>
      <c r="J130">
        <v>3</v>
      </c>
    </row>
    <row r="131" spans="1:10" x14ac:dyDescent="0.3">
      <c r="A131" t="s">
        <v>265</v>
      </c>
      <c r="B131" t="s">
        <v>266</v>
      </c>
      <c r="C131" t="s">
        <v>12</v>
      </c>
      <c r="D131" t="s">
        <v>35</v>
      </c>
      <c r="E131" t="s">
        <v>23</v>
      </c>
      <c r="F131" t="s">
        <v>15</v>
      </c>
      <c r="G131" s="3">
        <v>9310.2800000000007</v>
      </c>
      <c r="H131" s="3">
        <v>5827.21</v>
      </c>
      <c r="I131" s="3">
        <v>494.01</v>
      </c>
      <c r="J131">
        <v>4</v>
      </c>
    </row>
    <row r="132" spans="1:10" x14ac:dyDescent="0.3">
      <c r="A132" t="s">
        <v>267</v>
      </c>
      <c r="B132" t="s">
        <v>136</v>
      </c>
      <c r="C132" t="s">
        <v>12</v>
      </c>
      <c r="D132" t="s">
        <v>13</v>
      </c>
      <c r="E132" t="s">
        <v>23</v>
      </c>
      <c r="F132" t="s">
        <v>20</v>
      </c>
      <c r="G132" s="3">
        <v>5737.8</v>
      </c>
      <c r="H132" s="3">
        <v>4379.3999999999996</v>
      </c>
      <c r="I132" s="3">
        <v>254.77</v>
      </c>
      <c r="J132">
        <v>2</v>
      </c>
    </row>
    <row r="133" spans="1:10" x14ac:dyDescent="0.3">
      <c r="A133" t="s">
        <v>268</v>
      </c>
      <c r="B133" t="s">
        <v>89</v>
      </c>
      <c r="C133" t="s">
        <v>25</v>
      </c>
      <c r="D133" t="s">
        <v>30</v>
      </c>
      <c r="E133" t="s">
        <v>14</v>
      </c>
      <c r="F133" t="s">
        <v>20</v>
      </c>
      <c r="G133" s="3">
        <v>2782.6</v>
      </c>
      <c r="H133" s="3">
        <v>2066.4</v>
      </c>
      <c r="I133" s="3">
        <v>335.26</v>
      </c>
      <c r="J133">
        <v>1</v>
      </c>
    </row>
    <row r="134" spans="1:10" x14ac:dyDescent="0.3">
      <c r="A134" t="s">
        <v>269</v>
      </c>
      <c r="B134" t="s">
        <v>270</v>
      </c>
      <c r="C134" t="s">
        <v>25</v>
      </c>
      <c r="D134" t="s">
        <v>43</v>
      </c>
      <c r="E134" t="s">
        <v>14</v>
      </c>
      <c r="F134" t="s">
        <v>15</v>
      </c>
      <c r="G134" s="3">
        <v>22157.55</v>
      </c>
      <c r="H134" s="3">
        <v>12372.45</v>
      </c>
      <c r="I134" s="3">
        <v>305.02</v>
      </c>
      <c r="J134">
        <v>5</v>
      </c>
    </row>
    <row r="135" spans="1:10" x14ac:dyDescent="0.3">
      <c r="A135" t="s">
        <v>271</v>
      </c>
      <c r="B135" t="s">
        <v>272</v>
      </c>
      <c r="C135" t="s">
        <v>25</v>
      </c>
      <c r="D135" t="s">
        <v>30</v>
      </c>
      <c r="E135" t="s">
        <v>14</v>
      </c>
      <c r="F135" t="s">
        <v>20</v>
      </c>
      <c r="G135" s="3">
        <v>9389.85</v>
      </c>
      <c r="H135" s="3">
        <v>6865.44</v>
      </c>
      <c r="I135" s="3">
        <v>213.11</v>
      </c>
      <c r="J135">
        <v>3</v>
      </c>
    </row>
    <row r="136" spans="1:10" x14ac:dyDescent="0.3">
      <c r="A136" t="s">
        <v>273</v>
      </c>
      <c r="B136" t="s">
        <v>274</v>
      </c>
      <c r="C136" t="s">
        <v>12</v>
      </c>
      <c r="D136" t="s">
        <v>13</v>
      </c>
      <c r="E136" t="s">
        <v>14</v>
      </c>
      <c r="F136" t="s">
        <v>15</v>
      </c>
      <c r="G136" s="3">
        <v>4082.5</v>
      </c>
      <c r="H136" s="3">
        <v>2695.9</v>
      </c>
      <c r="I136" s="3">
        <v>154.91999999999999</v>
      </c>
      <c r="J136">
        <v>2</v>
      </c>
    </row>
    <row r="137" spans="1:10" x14ac:dyDescent="0.3">
      <c r="A137" t="s">
        <v>275</v>
      </c>
      <c r="B137" t="s">
        <v>194</v>
      </c>
      <c r="C137" t="s">
        <v>12</v>
      </c>
      <c r="D137" t="s">
        <v>13</v>
      </c>
      <c r="E137" t="s">
        <v>27</v>
      </c>
      <c r="F137" t="s">
        <v>15</v>
      </c>
      <c r="G137" s="3">
        <v>9595.9500000000007</v>
      </c>
      <c r="H137" s="3">
        <v>6705.06</v>
      </c>
      <c r="I137" s="3">
        <v>242.81</v>
      </c>
      <c r="J137">
        <v>5</v>
      </c>
    </row>
    <row r="138" spans="1:10" x14ac:dyDescent="0.3">
      <c r="A138" t="s">
        <v>276</v>
      </c>
      <c r="B138" t="s">
        <v>93</v>
      </c>
      <c r="C138" t="s">
        <v>25</v>
      </c>
      <c r="D138" t="s">
        <v>30</v>
      </c>
      <c r="E138" t="s">
        <v>38</v>
      </c>
      <c r="F138" t="s">
        <v>15</v>
      </c>
      <c r="G138" s="3">
        <v>6721.84</v>
      </c>
      <c r="H138" s="3">
        <v>3819.45</v>
      </c>
      <c r="I138" s="3">
        <v>378.24</v>
      </c>
      <c r="J138">
        <v>2</v>
      </c>
    </row>
    <row r="139" spans="1:10" x14ac:dyDescent="0.3">
      <c r="A139" t="s">
        <v>277</v>
      </c>
      <c r="B139" t="s">
        <v>278</v>
      </c>
      <c r="C139" t="s">
        <v>25</v>
      </c>
      <c r="D139" t="s">
        <v>30</v>
      </c>
      <c r="E139" t="s">
        <v>23</v>
      </c>
      <c r="F139" t="s">
        <v>20</v>
      </c>
      <c r="G139" s="3">
        <v>2151.6999999999998</v>
      </c>
      <c r="H139" s="3">
        <v>1637.08</v>
      </c>
      <c r="I139" s="3">
        <v>460.66</v>
      </c>
      <c r="J139">
        <v>2</v>
      </c>
    </row>
    <row r="140" spans="1:10" x14ac:dyDescent="0.3">
      <c r="A140" t="s">
        <v>279</v>
      </c>
      <c r="B140" t="s">
        <v>280</v>
      </c>
      <c r="C140" t="s">
        <v>12</v>
      </c>
      <c r="D140" t="s">
        <v>22</v>
      </c>
      <c r="E140" t="s">
        <v>38</v>
      </c>
      <c r="F140" t="s">
        <v>20</v>
      </c>
      <c r="G140" s="3">
        <v>3294.15</v>
      </c>
      <c r="H140" s="3">
        <v>2320.73</v>
      </c>
      <c r="I140" s="3">
        <v>451</v>
      </c>
      <c r="J140">
        <v>3</v>
      </c>
    </row>
    <row r="141" spans="1:10" x14ac:dyDescent="0.3">
      <c r="A141" t="s">
        <v>281</v>
      </c>
      <c r="B141" t="s">
        <v>282</v>
      </c>
      <c r="C141" t="s">
        <v>25</v>
      </c>
      <c r="D141" t="s">
        <v>26</v>
      </c>
      <c r="E141" t="s">
        <v>23</v>
      </c>
      <c r="F141" t="s">
        <v>20</v>
      </c>
      <c r="G141" s="3">
        <v>6297.2</v>
      </c>
      <c r="H141" s="3">
        <v>4220.5200000000004</v>
      </c>
      <c r="I141" s="3">
        <v>176.84</v>
      </c>
      <c r="J141">
        <v>5</v>
      </c>
    </row>
    <row r="142" spans="1:10" x14ac:dyDescent="0.3">
      <c r="A142" t="s">
        <v>283</v>
      </c>
      <c r="B142" t="s">
        <v>110</v>
      </c>
      <c r="C142" t="s">
        <v>25</v>
      </c>
      <c r="D142" t="s">
        <v>30</v>
      </c>
      <c r="E142" t="s">
        <v>27</v>
      </c>
      <c r="F142" t="s">
        <v>15</v>
      </c>
      <c r="G142" s="3">
        <v>16592.349999999999</v>
      </c>
      <c r="H142" s="3">
        <v>11152.03</v>
      </c>
      <c r="I142" s="3">
        <v>316.18</v>
      </c>
      <c r="J142">
        <v>5</v>
      </c>
    </row>
    <row r="143" spans="1:10" x14ac:dyDescent="0.3">
      <c r="A143" t="s">
        <v>284</v>
      </c>
      <c r="B143" t="s">
        <v>285</v>
      </c>
      <c r="C143" t="s">
        <v>12</v>
      </c>
      <c r="D143" t="s">
        <v>22</v>
      </c>
      <c r="E143" t="s">
        <v>38</v>
      </c>
      <c r="F143" t="s">
        <v>15</v>
      </c>
      <c r="G143" s="3">
        <v>674.69</v>
      </c>
      <c r="H143" s="3">
        <v>394.61</v>
      </c>
      <c r="I143" s="3">
        <v>121.02</v>
      </c>
      <c r="J143">
        <v>1</v>
      </c>
    </row>
    <row r="144" spans="1:10" x14ac:dyDescent="0.3">
      <c r="A144" t="s">
        <v>286</v>
      </c>
      <c r="B144" t="s">
        <v>167</v>
      </c>
      <c r="C144" t="s">
        <v>12</v>
      </c>
      <c r="D144" t="s">
        <v>22</v>
      </c>
      <c r="E144" t="s">
        <v>38</v>
      </c>
      <c r="F144" t="s">
        <v>20</v>
      </c>
      <c r="G144" s="3">
        <v>1419.78</v>
      </c>
      <c r="H144" s="3">
        <v>849.95</v>
      </c>
      <c r="I144" s="3">
        <v>262.92</v>
      </c>
      <c r="J144">
        <v>1</v>
      </c>
    </row>
    <row r="145" spans="1:10" x14ac:dyDescent="0.3">
      <c r="A145" t="s">
        <v>287</v>
      </c>
      <c r="B145" t="s">
        <v>288</v>
      </c>
      <c r="C145" t="s">
        <v>12</v>
      </c>
      <c r="D145" t="s">
        <v>35</v>
      </c>
      <c r="E145" t="s">
        <v>38</v>
      </c>
      <c r="F145" t="s">
        <v>15</v>
      </c>
      <c r="G145" s="3">
        <v>2999.25</v>
      </c>
      <c r="H145" s="3">
        <v>2307.61</v>
      </c>
      <c r="I145" s="3">
        <v>215.12</v>
      </c>
      <c r="J145">
        <v>5</v>
      </c>
    </row>
    <row r="146" spans="1:10" x14ac:dyDescent="0.3">
      <c r="A146" t="s">
        <v>289</v>
      </c>
      <c r="B146" t="s">
        <v>290</v>
      </c>
      <c r="C146" t="s">
        <v>18</v>
      </c>
      <c r="D146" t="s">
        <v>60</v>
      </c>
      <c r="E146" t="s">
        <v>38</v>
      </c>
      <c r="F146" t="s">
        <v>20</v>
      </c>
      <c r="G146" s="3">
        <v>1097.04</v>
      </c>
      <c r="H146" s="3">
        <v>750.16</v>
      </c>
      <c r="I146" s="3">
        <v>439.82</v>
      </c>
      <c r="J146">
        <v>1</v>
      </c>
    </row>
    <row r="147" spans="1:10" x14ac:dyDescent="0.3">
      <c r="A147" t="s">
        <v>291</v>
      </c>
      <c r="B147" t="s">
        <v>292</v>
      </c>
      <c r="C147" t="s">
        <v>12</v>
      </c>
      <c r="D147" t="s">
        <v>13</v>
      </c>
      <c r="E147" t="s">
        <v>27</v>
      </c>
      <c r="F147" t="s">
        <v>20</v>
      </c>
      <c r="G147" s="3">
        <v>21717.25</v>
      </c>
      <c r="H147" s="3">
        <v>18177.5</v>
      </c>
      <c r="I147" s="3">
        <v>142.91</v>
      </c>
      <c r="J147">
        <v>5</v>
      </c>
    </row>
    <row r="148" spans="1:10" x14ac:dyDescent="0.3">
      <c r="A148" t="s">
        <v>293</v>
      </c>
      <c r="B148" t="s">
        <v>159</v>
      </c>
      <c r="C148" t="s">
        <v>25</v>
      </c>
      <c r="D148" t="s">
        <v>43</v>
      </c>
      <c r="E148" t="s">
        <v>23</v>
      </c>
      <c r="F148" t="s">
        <v>15</v>
      </c>
      <c r="G148" s="3">
        <v>1603.41</v>
      </c>
      <c r="H148" s="3">
        <v>1329.26</v>
      </c>
      <c r="I148" s="3">
        <v>322.13</v>
      </c>
      <c r="J148">
        <v>1</v>
      </c>
    </row>
    <row r="149" spans="1:10" x14ac:dyDescent="0.3">
      <c r="A149" t="s">
        <v>294</v>
      </c>
      <c r="B149" t="s">
        <v>84</v>
      </c>
      <c r="C149" t="s">
        <v>12</v>
      </c>
      <c r="D149" t="s">
        <v>22</v>
      </c>
      <c r="E149" t="s">
        <v>23</v>
      </c>
      <c r="F149" t="s">
        <v>15</v>
      </c>
      <c r="G149" s="3">
        <v>6277.6</v>
      </c>
      <c r="H149" s="3">
        <v>4714.6899999999996</v>
      </c>
      <c r="I149" s="3">
        <v>69.5</v>
      </c>
      <c r="J149">
        <v>5</v>
      </c>
    </row>
    <row r="150" spans="1:10" x14ac:dyDescent="0.3">
      <c r="A150" t="s">
        <v>295</v>
      </c>
      <c r="B150" t="s">
        <v>296</v>
      </c>
      <c r="C150" t="s">
        <v>12</v>
      </c>
      <c r="D150" t="s">
        <v>13</v>
      </c>
      <c r="E150" t="s">
        <v>38</v>
      </c>
      <c r="F150" t="s">
        <v>20</v>
      </c>
      <c r="G150" s="3">
        <v>2079.6999999999998</v>
      </c>
      <c r="H150" s="3">
        <v>1195.3900000000001</v>
      </c>
      <c r="I150" s="3">
        <v>237.93</v>
      </c>
      <c r="J150">
        <v>5</v>
      </c>
    </row>
    <row r="151" spans="1:10" x14ac:dyDescent="0.3">
      <c r="A151" t="s">
        <v>297</v>
      </c>
      <c r="B151" t="s">
        <v>298</v>
      </c>
      <c r="C151" t="s">
        <v>12</v>
      </c>
      <c r="D151" t="s">
        <v>35</v>
      </c>
      <c r="E151" t="s">
        <v>14</v>
      </c>
      <c r="F151" t="s">
        <v>20</v>
      </c>
      <c r="G151" s="3">
        <v>1992.54</v>
      </c>
      <c r="H151" s="3">
        <v>1523.12</v>
      </c>
      <c r="I151" s="3">
        <v>180.01</v>
      </c>
      <c r="J151">
        <v>1</v>
      </c>
    </row>
    <row r="152" spans="1:10" x14ac:dyDescent="0.3">
      <c r="A152" t="s">
        <v>299</v>
      </c>
      <c r="B152" t="s">
        <v>300</v>
      </c>
      <c r="C152" t="s">
        <v>18</v>
      </c>
      <c r="D152" t="s">
        <v>60</v>
      </c>
      <c r="E152" t="s">
        <v>14</v>
      </c>
      <c r="F152" t="s">
        <v>20</v>
      </c>
      <c r="G152" s="3">
        <v>9800.6</v>
      </c>
      <c r="H152" s="3">
        <v>6606.13</v>
      </c>
      <c r="I152" s="3">
        <v>144.26</v>
      </c>
      <c r="J152">
        <v>4</v>
      </c>
    </row>
    <row r="153" spans="1:10" x14ac:dyDescent="0.3">
      <c r="A153" t="s">
        <v>301</v>
      </c>
      <c r="B153" t="s">
        <v>302</v>
      </c>
      <c r="C153" t="s">
        <v>25</v>
      </c>
      <c r="D153" t="s">
        <v>30</v>
      </c>
      <c r="E153" t="s">
        <v>27</v>
      </c>
      <c r="F153" t="s">
        <v>20</v>
      </c>
      <c r="G153" s="3">
        <v>5365.89</v>
      </c>
      <c r="H153" s="3">
        <v>3295.9</v>
      </c>
      <c r="I153" s="3">
        <v>157</v>
      </c>
      <c r="J153">
        <v>3</v>
      </c>
    </row>
    <row r="154" spans="1:10" x14ac:dyDescent="0.3">
      <c r="A154" t="s">
        <v>303</v>
      </c>
      <c r="B154" t="s">
        <v>194</v>
      </c>
      <c r="C154" t="s">
        <v>12</v>
      </c>
      <c r="D154" t="s">
        <v>13</v>
      </c>
      <c r="E154" t="s">
        <v>14</v>
      </c>
      <c r="F154" t="s">
        <v>20</v>
      </c>
      <c r="G154" s="3">
        <v>1573.12</v>
      </c>
      <c r="H154" s="3">
        <v>1061.17</v>
      </c>
      <c r="I154" s="3">
        <v>79.67</v>
      </c>
      <c r="J154">
        <v>2</v>
      </c>
    </row>
    <row r="155" spans="1:10" x14ac:dyDescent="0.3">
      <c r="A155" t="s">
        <v>304</v>
      </c>
      <c r="B155" t="s">
        <v>274</v>
      </c>
      <c r="C155" t="s">
        <v>18</v>
      </c>
      <c r="D155" t="s">
        <v>60</v>
      </c>
      <c r="E155" t="s">
        <v>14</v>
      </c>
      <c r="F155" t="s">
        <v>20</v>
      </c>
      <c r="G155" s="3">
        <v>7022.5</v>
      </c>
      <c r="H155" s="3">
        <v>4146.2</v>
      </c>
      <c r="I155" s="3">
        <v>319.39999999999998</v>
      </c>
      <c r="J155">
        <v>2</v>
      </c>
    </row>
    <row r="156" spans="1:10" x14ac:dyDescent="0.3">
      <c r="A156" t="s">
        <v>305</v>
      </c>
      <c r="B156" t="s">
        <v>306</v>
      </c>
      <c r="C156" t="s">
        <v>18</v>
      </c>
      <c r="D156" t="s">
        <v>46</v>
      </c>
      <c r="E156" t="s">
        <v>23</v>
      </c>
      <c r="F156" t="s">
        <v>15</v>
      </c>
      <c r="G156" s="3">
        <v>8607.92</v>
      </c>
      <c r="H156" s="3">
        <v>6066.72</v>
      </c>
      <c r="I156" s="3">
        <v>72.11</v>
      </c>
      <c r="J156">
        <v>2</v>
      </c>
    </row>
    <row r="157" spans="1:10" x14ac:dyDescent="0.3">
      <c r="A157" t="s">
        <v>307</v>
      </c>
      <c r="B157" t="s">
        <v>308</v>
      </c>
      <c r="C157" t="s">
        <v>25</v>
      </c>
      <c r="D157" t="s">
        <v>30</v>
      </c>
      <c r="E157" t="s">
        <v>14</v>
      </c>
      <c r="F157" t="s">
        <v>15</v>
      </c>
      <c r="G157" s="3">
        <v>4671.3999999999996</v>
      </c>
      <c r="H157" s="3">
        <v>3029.07</v>
      </c>
      <c r="I157" s="3">
        <v>323.27999999999997</v>
      </c>
      <c r="J157">
        <v>1</v>
      </c>
    </row>
    <row r="158" spans="1:10" x14ac:dyDescent="0.3">
      <c r="A158" t="s">
        <v>309</v>
      </c>
      <c r="B158" t="s">
        <v>310</v>
      </c>
      <c r="C158" t="s">
        <v>25</v>
      </c>
      <c r="D158" t="s">
        <v>26</v>
      </c>
      <c r="E158" t="s">
        <v>14</v>
      </c>
      <c r="F158" t="s">
        <v>15</v>
      </c>
      <c r="G158" s="3">
        <v>6790.56</v>
      </c>
      <c r="H158" s="3">
        <v>4574.1400000000003</v>
      </c>
      <c r="I158" s="3">
        <v>246.71</v>
      </c>
      <c r="J158">
        <v>3</v>
      </c>
    </row>
    <row r="159" spans="1:10" x14ac:dyDescent="0.3">
      <c r="A159" t="s">
        <v>311</v>
      </c>
      <c r="B159" t="s">
        <v>312</v>
      </c>
      <c r="C159" t="s">
        <v>25</v>
      </c>
      <c r="D159" t="s">
        <v>26</v>
      </c>
      <c r="E159" t="s">
        <v>23</v>
      </c>
      <c r="F159" t="s">
        <v>15</v>
      </c>
      <c r="G159" s="3">
        <v>6667.44</v>
      </c>
      <c r="H159" s="3">
        <v>4038.13</v>
      </c>
      <c r="I159" s="3">
        <v>374</v>
      </c>
      <c r="J159">
        <v>3</v>
      </c>
    </row>
    <row r="160" spans="1:10" x14ac:dyDescent="0.3">
      <c r="A160" t="s">
        <v>313</v>
      </c>
      <c r="B160" t="s">
        <v>314</v>
      </c>
      <c r="C160" t="s">
        <v>25</v>
      </c>
      <c r="D160" t="s">
        <v>26</v>
      </c>
      <c r="E160" t="s">
        <v>23</v>
      </c>
      <c r="F160" t="s">
        <v>20</v>
      </c>
      <c r="G160" s="3">
        <v>8144.07</v>
      </c>
      <c r="H160" s="3">
        <v>5303.93</v>
      </c>
      <c r="I160" s="3">
        <v>255.33</v>
      </c>
      <c r="J160">
        <v>3</v>
      </c>
    </row>
    <row r="161" spans="1:10" x14ac:dyDescent="0.3">
      <c r="A161" t="s">
        <v>315</v>
      </c>
      <c r="B161" t="s">
        <v>316</v>
      </c>
      <c r="C161" t="s">
        <v>12</v>
      </c>
      <c r="D161" t="s">
        <v>13</v>
      </c>
      <c r="E161" t="s">
        <v>23</v>
      </c>
      <c r="F161" t="s">
        <v>20</v>
      </c>
      <c r="G161" s="3">
        <v>1732.65</v>
      </c>
      <c r="H161" s="3">
        <v>1037.68</v>
      </c>
      <c r="I161" s="3">
        <v>470.54</v>
      </c>
      <c r="J161">
        <v>3</v>
      </c>
    </row>
    <row r="162" spans="1:10" x14ac:dyDescent="0.3">
      <c r="A162" t="s">
        <v>317</v>
      </c>
      <c r="B162" t="s">
        <v>210</v>
      </c>
      <c r="C162" t="s">
        <v>25</v>
      </c>
      <c r="D162" t="s">
        <v>26</v>
      </c>
      <c r="E162" t="s">
        <v>14</v>
      </c>
      <c r="F162" t="s">
        <v>15</v>
      </c>
      <c r="G162" s="3">
        <v>8311.14</v>
      </c>
      <c r="H162" s="3">
        <v>4543.08</v>
      </c>
      <c r="I162" s="3">
        <v>242.78</v>
      </c>
      <c r="J162">
        <v>2</v>
      </c>
    </row>
    <row r="163" spans="1:10" x14ac:dyDescent="0.3">
      <c r="A163" t="s">
        <v>318</v>
      </c>
      <c r="B163" t="s">
        <v>319</v>
      </c>
      <c r="C163" t="s">
        <v>18</v>
      </c>
      <c r="D163" t="s">
        <v>55</v>
      </c>
      <c r="E163" t="s">
        <v>38</v>
      </c>
      <c r="F163" t="s">
        <v>15</v>
      </c>
      <c r="G163" s="3">
        <v>12139.41</v>
      </c>
      <c r="H163" s="3">
        <v>6730.75</v>
      </c>
      <c r="I163" s="3">
        <v>490.02</v>
      </c>
      <c r="J163">
        <v>3</v>
      </c>
    </row>
    <row r="164" spans="1:10" x14ac:dyDescent="0.3">
      <c r="A164" t="s">
        <v>320</v>
      </c>
      <c r="B164" t="s">
        <v>312</v>
      </c>
      <c r="C164" t="s">
        <v>25</v>
      </c>
      <c r="D164" t="s">
        <v>26</v>
      </c>
      <c r="E164" t="s">
        <v>14</v>
      </c>
      <c r="F164" t="s">
        <v>20</v>
      </c>
      <c r="G164" s="3">
        <v>10022.799999999999</v>
      </c>
      <c r="H164" s="3">
        <v>5641.59</v>
      </c>
      <c r="I164" s="3">
        <v>161.19999999999999</v>
      </c>
      <c r="J164">
        <v>4</v>
      </c>
    </row>
    <row r="165" spans="1:10" x14ac:dyDescent="0.3">
      <c r="A165" t="s">
        <v>321</v>
      </c>
      <c r="B165" t="s">
        <v>171</v>
      </c>
      <c r="C165" t="s">
        <v>12</v>
      </c>
      <c r="D165" t="s">
        <v>35</v>
      </c>
      <c r="E165" t="s">
        <v>38</v>
      </c>
      <c r="F165" t="s">
        <v>20</v>
      </c>
      <c r="G165" s="3">
        <v>17710.96</v>
      </c>
      <c r="H165" s="3">
        <v>12596.84</v>
      </c>
      <c r="I165" s="3">
        <v>411.09</v>
      </c>
      <c r="J165">
        <v>4</v>
      </c>
    </row>
    <row r="166" spans="1:10" x14ac:dyDescent="0.3">
      <c r="A166" t="s">
        <v>322</v>
      </c>
      <c r="B166" t="s">
        <v>323</v>
      </c>
      <c r="C166" t="s">
        <v>25</v>
      </c>
      <c r="D166" t="s">
        <v>43</v>
      </c>
      <c r="E166" t="s">
        <v>27</v>
      </c>
      <c r="F166" t="s">
        <v>20</v>
      </c>
      <c r="G166" s="3">
        <v>4733.38</v>
      </c>
      <c r="H166" s="3">
        <v>3600.14</v>
      </c>
      <c r="I166" s="3">
        <v>290.95999999999998</v>
      </c>
      <c r="J166">
        <v>1</v>
      </c>
    </row>
    <row r="167" spans="1:10" x14ac:dyDescent="0.3">
      <c r="A167" t="s">
        <v>324</v>
      </c>
      <c r="B167" t="s">
        <v>325</v>
      </c>
      <c r="C167" t="s">
        <v>18</v>
      </c>
      <c r="D167" t="s">
        <v>19</v>
      </c>
      <c r="E167" t="s">
        <v>38</v>
      </c>
      <c r="F167" t="s">
        <v>20</v>
      </c>
      <c r="G167" s="3">
        <v>5639.97</v>
      </c>
      <c r="H167" s="3">
        <v>3697.68</v>
      </c>
      <c r="I167" s="3">
        <v>361.23</v>
      </c>
      <c r="J167">
        <v>3</v>
      </c>
    </row>
    <row r="168" spans="1:10" x14ac:dyDescent="0.3">
      <c r="A168" t="s">
        <v>326</v>
      </c>
      <c r="B168" t="s">
        <v>327</v>
      </c>
      <c r="C168" t="s">
        <v>25</v>
      </c>
      <c r="D168" t="s">
        <v>43</v>
      </c>
      <c r="E168" t="s">
        <v>14</v>
      </c>
      <c r="F168" t="s">
        <v>15</v>
      </c>
      <c r="G168" s="3">
        <v>3421.31</v>
      </c>
      <c r="H168" s="3">
        <v>1934.04</v>
      </c>
      <c r="I168" s="3">
        <v>274.31</v>
      </c>
      <c r="J168">
        <v>1</v>
      </c>
    </row>
    <row r="169" spans="1:10" x14ac:dyDescent="0.3">
      <c r="A169" t="s">
        <v>328</v>
      </c>
      <c r="B169" t="s">
        <v>329</v>
      </c>
      <c r="C169" t="s">
        <v>12</v>
      </c>
      <c r="D169" t="s">
        <v>22</v>
      </c>
      <c r="E169" t="s">
        <v>38</v>
      </c>
      <c r="F169" t="s">
        <v>15</v>
      </c>
      <c r="G169" s="3">
        <v>8949.85</v>
      </c>
      <c r="H169" s="3">
        <v>5014.41</v>
      </c>
      <c r="I169" s="3">
        <v>398.83</v>
      </c>
      <c r="J169">
        <v>5</v>
      </c>
    </row>
    <row r="170" spans="1:10" x14ac:dyDescent="0.3">
      <c r="A170" t="s">
        <v>330</v>
      </c>
      <c r="B170" t="s">
        <v>331</v>
      </c>
      <c r="C170" t="s">
        <v>12</v>
      </c>
      <c r="D170" t="s">
        <v>13</v>
      </c>
      <c r="E170" t="s">
        <v>14</v>
      </c>
      <c r="F170" t="s">
        <v>20</v>
      </c>
      <c r="G170" s="3">
        <v>10267.65</v>
      </c>
      <c r="H170" s="3">
        <v>6945.63</v>
      </c>
      <c r="I170" s="3">
        <v>75.02</v>
      </c>
      <c r="J170">
        <v>3</v>
      </c>
    </row>
    <row r="171" spans="1:10" x14ac:dyDescent="0.3">
      <c r="A171" t="s">
        <v>332</v>
      </c>
      <c r="B171" t="s">
        <v>333</v>
      </c>
      <c r="C171" t="s">
        <v>18</v>
      </c>
      <c r="D171" t="s">
        <v>19</v>
      </c>
      <c r="E171" t="s">
        <v>23</v>
      </c>
      <c r="F171" t="s">
        <v>20</v>
      </c>
      <c r="G171" s="3">
        <v>2272.89</v>
      </c>
      <c r="H171" s="3">
        <v>1452.57</v>
      </c>
      <c r="I171" s="3">
        <v>445.86</v>
      </c>
      <c r="J171">
        <v>3</v>
      </c>
    </row>
    <row r="172" spans="1:10" x14ac:dyDescent="0.3">
      <c r="A172" t="s">
        <v>334</v>
      </c>
      <c r="B172" t="s">
        <v>335</v>
      </c>
      <c r="C172" t="s">
        <v>25</v>
      </c>
      <c r="D172" t="s">
        <v>30</v>
      </c>
      <c r="E172" t="s">
        <v>27</v>
      </c>
      <c r="F172" t="s">
        <v>20</v>
      </c>
      <c r="G172" s="3">
        <v>14575.41</v>
      </c>
      <c r="H172" s="3">
        <v>12321.79</v>
      </c>
      <c r="I172" s="3">
        <v>89.09</v>
      </c>
      <c r="J172">
        <v>3</v>
      </c>
    </row>
    <row r="173" spans="1:10" x14ac:dyDescent="0.3">
      <c r="A173" t="s">
        <v>336</v>
      </c>
      <c r="B173" t="s">
        <v>274</v>
      </c>
      <c r="C173" t="s">
        <v>18</v>
      </c>
      <c r="D173" t="s">
        <v>60</v>
      </c>
      <c r="E173" t="s">
        <v>27</v>
      </c>
      <c r="F173" t="s">
        <v>15</v>
      </c>
      <c r="G173" s="3">
        <v>3253.66</v>
      </c>
      <c r="H173" s="3">
        <v>1960.49</v>
      </c>
      <c r="I173" s="3">
        <v>151.19</v>
      </c>
      <c r="J173">
        <v>2</v>
      </c>
    </row>
    <row r="174" spans="1:10" x14ac:dyDescent="0.3">
      <c r="A174" t="s">
        <v>337</v>
      </c>
      <c r="B174" t="s">
        <v>338</v>
      </c>
      <c r="C174" t="s">
        <v>18</v>
      </c>
      <c r="D174" t="s">
        <v>55</v>
      </c>
      <c r="E174" t="s">
        <v>38</v>
      </c>
      <c r="F174" t="s">
        <v>15</v>
      </c>
      <c r="G174" s="3">
        <v>24940.2</v>
      </c>
      <c r="H174" s="3">
        <v>21026.16</v>
      </c>
      <c r="I174" s="3">
        <v>209.57</v>
      </c>
      <c r="J174">
        <v>5</v>
      </c>
    </row>
    <row r="175" spans="1:10" x14ac:dyDescent="0.3">
      <c r="A175" t="s">
        <v>339</v>
      </c>
      <c r="B175" t="s">
        <v>340</v>
      </c>
      <c r="C175" t="s">
        <v>12</v>
      </c>
      <c r="D175" t="s">
        <v>22</v>
      </c>
      <c r="E175" t="s">
        <v>14</v>
      </c>
      <c r="F175" t="s">
        <v>15</v>
      </c>
      <c r="G175" s="3">
        <v>5560.52</v>
      </c>
      <c r="H175" s="3">
        <v>4440.67</v>
      </c>
      <c r="I175" s="3">
        <v>218.86</v>
      </c>
      <c r="J175">
        <v>2</v>
      </c>
    </row>
    <row r="176" spans="1:10" x14ac:dyDescent="0.3">
      <c r="A176" t="s">
        <v>341</v>
      </c>
      <c r="B176" t="s">
        <v>342</v>
      </c>
      <c r="C176" t="s">
        <v>18</v>
      </c>
      <c r="D176" t="s">
        <v>19</v>
      </c>
      <c r="E176" t="s">
        <v>14</v>
      </c>
      <c r="F176" t="s">
        <v>15</v>
      </c>
      <c r="G176" s="3">
        <v>583.21</v>
      </c>
      <c r="H176" s="3">
        <v>441.46</v>
      </c>
      <c r="I176" s="3">
        <v>118.15</v>
      </c>
      <c r="J176">
        <v>1</v>
      </c>
    </row>
    <row r="177" spans="1:10" x14ac:dyDescent="0.3">
      <c r="A177" t="s">
        <v>343</v>
      </c>
      <c r="B177" t="s">
        <v>249</v>
      </c>
      <c r="C177" t="s">
        <v>25</v>
      </c>
      <c r="D177" t="s">
        <v>26</v>
      </c>
      <c r="E177" t="s">
        <v>38</v>
      </c>
      <c r="F177" t="s">
        <v>20</v>
      </c>
      <c r="G177" s="3">
        <v>12361.12</v>
      </c>
      <c r="H177" s="3">
        <v>8717.51</v>
      </c>
      <c r="I177" s="3">
        <v>465.82</v>
      </c>
      <c r="J177">
        <v>4</v>
      </c>
    </row>
    <row r="178" spans="1:10" x14ac:dyDescent="0.3">
      <c r="A178" t="s">
        <v>344</v>
      </c>
      <c r="B178" t="s">
        <v>345</v>
      </c>
      <c r="C178" t="s">
        <v>25</v>
      </c>
      <c r="D178" t="s">
        <v>30</v>
      </c>
      <c r="E178" t="s">
        <v>38</v>
      </c>
      <c r="F178" t="s">
        <v>20</v>
      </c>
      <c r="G178" s="3">
        <v>1222.52</v>
      </c>
      <c r="H178" s="3">
        <v>674.06</v>
      </c>
      <c r="I178" s="3">
        <v>80.48</v>
      </c>
      <c r="J178">
        <v>1</v>
      </c>
    </row>
    <row r="179" spans="1:10" x14ac:dyDescent="0.3">
      <c r="A179" t="s">
        <v>346</v>
      </c>
      <c r="B179" t="s">
        <v>159</v>
      </c>
      <c r="C179" t="s">
        <v>25</v>
      </c>
      <c r="D179" t="s">
        <v>43</v>
      </c>
      <c r="E179" t="s">
        <v>27</v>
      </c>
      <c r="F179" t="s">
        <v>20</v>
      </c>
      <c r="G179" s="3">
        <v>7714.11</v>
      </c>
      <c r="H179" s="3">
        <v>4760.5600000000004</v>
      </c>
      <c r="I179" s="3">
        <v>195.83</v>
      </c>
      <c r="J179">
        <v>3</v>
      </c>
    </row>
    <row r="180" spans="1:10" x14ac:dyDescent="0.3">
      <c r="A180" t="s">
        <v>347</v>
      </c>
      <c r="B180" t="s">
        <v>348</v>
      </c>
      <c r="C180" t="s">
        <v>18</v>
      </c>
      <c r="D180" t="s">
        <v>60</v>
      </c>
      <c r="E180" t="s">
        <v>14</v>
      </c>
      <c r="F180" t="s">
        <v>15</v>
      </c>
      <c r="G180" s="3">
        <v>12915.93</v>
      </c>
      <c r="H180" s="3">
        <v>10354.82</v>
      </c>
      <c r="I180" s="3">
        <v>74.010000000000005</v>
      </c>
      <c r="J180">
        <v>3</v>
      </c>
    </row>
    <row r="181" spans="1:10" x14ac:dyDescent="0.3">
      <c r="A181" t="s">
        <v>349</v>
      </c>
      <c r="B181" t="s">
        <v>350</v>
      </c>
      <c r="C181" t="s">
        <v>12</v>
      </c>
      <c r="D181" t="s">
        <v>22</v>
      </c>
      <c r="E181" t="s">
        <v>14</v>
      </c>
      <c r="F181" t="s">
        <v>15</v>
      </c>
      <c r="G181" s="3">
        <v>19367.2</v>
      </c>
      <c r="H181" s="3">
        <v>12621.13</v>
      </c>
      <c r="I181" s="3">
        <v>460.5</v>
      </c>
      <c r="J181">
        <v>5</v>
      </c>
    </row>
    <row r="182" spans="1:10" x14ac:dyDescent="0.3">
      <c r="A182" t="s">
        <v>351</v>
      </c>
      <c r="B182" t="s">
        <v>161</v>
      </c>
      <c r="C182" t="s">
        <v>12</v>
      </c>
      <c r="D182" t="s">
        <v>35</v>
      </c>
      <c r="E182" t="s">
        <v>27</v>
      </c>
      <c r="F182" t="s">
        <v>20</v>
      </c>
      <c r="G182" s="3">
        <v>7088.1</v>
      </c>
      <c r="H182" s="3">
        <v>4126.92</v>
      </c>
      <c r="I182" s="3">
        <v>483.79</v>
      </c>
      <c r="J182">
        <v>3</v>
      </c>
    </row>
    <row r="183" spans="1:10" x14ac:dyDescent="0.3">
      <c r="A183" t="s">
        <v>352</v>
      </c>
      <c r="B183" t="s">
        <v>353</v>
      </c>
      <c r="C183" t="s">
        <v>25</v>
      </c>
      <c r="D183" t="s">
        <v>30</v>
      </c>
      <c r="E183" t="s">
        <v>14</v>
      </c>
      <c r="F183" t="s">
        <v>20</v>
      </c>
      <c r="G183" s="3">
        <v>1943.82</v>
      </c>
      <c r="H183" s="3">
        <v>1559.63</v>
      </c>
      <c r="I183" s="3">
        <v>394.02</v>
      </c>
      <c r="J183">
        <v>1</v>
      </c>
    </row>
    <row r="184" spans="1:10" x14ac:dyDescent="0.3">
      <c r="A184" t="s">
        <v>354</v>
      </c>
      <c r="B184" t="s">
        <v>355</v>
      </c>
      <c r="C184" t="s">
        <v>12</v>
      </c>
      <c r="D184" t="s">
        <v>22</v>
      </c>
      <c r="E184" t="s">
        <v>38</v>
      </c>
      <c r="F184" t="s">
        <v>15</v>
      </c>
      <c r="G184" s="3">
        <v>6352.48</v>
      </c>
      <c r="H184" s="3">
        <v>3822.1</v>
      </c>
      <c r="I184" s="3">
        <v>316.37</v>
      </c>
      <c r="J184">
        <v>4</v>
      </c>
    </row>
    <row r="185" spans="1:10" x14ac:dyDescent="0.3">
      <c r="A185" t="s">
        <v>356</v>
      </c>
      <c r="B185" t="s">
        <v>345</v>
      </c>
      <c r="C185" t="s">
        <v>18</v>
      </c>
      <c r="D185" t="s">
        <v>46</v>
      </c>
      <c r="E185" t="s">
        <v>27</v>
      </c>
      <c r="F185" t="s">
        <v>20</v>
      </c>
      <c r="G185" s="3">
        <v>957.45</v>
      </c>
      <c r="H185" s="3">
        <v>705.7</v>
      </c>
      <c r="I185" s="3">
        <v>73.95</v>
      </c>
      <c r="J185">
        <v>3</v>
      </c>
    </row>
    <row r="186" spans="1:10" x14ac:dyDescent="0.3">
      <c r="A186" t="s">
        <v>357</v>
      </c>
      <c r="B186" t="s">
        <v>159</v>
      </c>
      <c r="C186" t="s">
        <v>18</v>
      </c>
      <c r="D186" t="s">
        <v>55</v>
      </c>
      <c r="E186" t="s">
        <v>38</v>
      </c>
      <c r="F186" t="s">
        <v>15</v>
      </c>
      <c r="G186" s="3">
        <v>957.82</v>
      </c>
      <c r="H186" s="3">
        <v>651.28</v>
      </c>
      <c r="I186" s="3">
        <v>107.5</v>
      </c>
      <c r="J186">
        <v>1</v>
      </c>
    </row>
    <row r="187" spans="1:10" x14ac:dyDescent="0.3">
      <c r="A187" t="s">
        <v>358</v>
      </c>
      <c r="B187" t="s">
        <v>359</v>
      </c>
      <c r="C187" t="s">
        <v>12</v>
      </c>
      <c r="D187" t="s">
        <v>13</v>
      </c>
      <c r="E187" t="s">
        <v>27</v>
      </c>
      <c r="F187" t="s">
        <v>15</v>
      </c>
      <c r="G187" s="3">
        <v>5269.02</v>
      </c>
      <c r="H187" s="3">
        <v>2670.35</v>
      </c>
      <c r="I187" s="3">
        <v>435.45</v>
      </c>
      <c r="J187">
        <v>3</v>
      </c>
    </row>
    <row r="188" spans="1:10" x14ac:dyDescent="0.3">
      <c r="A188" t="s">
        <v>360</v>
      </c>
      <c r="B188" t="s">
        <v>245</v>
      </c>
      <c r="C188" t="s">
        <v>25</v>
      </c>
      <c r="D188" t="s">
        <v>43</v>
      </c>
      <c r="E188" t="s">
        <v>38</v>
      </c>
      <c r="F188" t="s">
        <v>20</v>
      </c>
      <c r="G188" s="3">
        <v>14825.95</v>
      </c>
      <c r="H188" s="3">
        <v>12305.76</v>
      </c>
      <c r="I188" s="3">
        <v>182.39</v>
      </c>
      <c r="J188">
        <v>5</v>
      </c>
    </row>
    <row r="189" spans="1:10" x14ac:dyDescent="0.3">
      <c r="A189" t="s">
        <v>361</v>
      </c>
      <c r="B189" t="s">
        <v>362</v>
      </c>
      <c r="C189" t="s">
        <v>25</v>
      </c>
      <c r="D189" t="s">
        <v>26</v>
      </c>
      <c r="E189" t="s">
        <v>38</v>
      </c>
      <c r="F189" t="s">
        <v>15</v>
      </c>
      <c r="G189" s="3">
        <v>3186.3</v>
      </c>
      <c r="H189" s="3">
        <v>2445.98</v>
      </c>
      <c r="I189" s="3">
        <v>71.28</v>
      </c>
      <c r="J189">
        <v>1</v>
      </c>
    </row>
    <row r="190" spans="1:10" x14ac:dyDescent="0.3">
      <c r="A190" t="s">
        <v>363</v>
      </c>
      <c r="B190" t="s">
        <v>348</v>
      </c>
      <c r="C190" t="s">
        <v>12</v>
      </c>
      <c r="D190" t="s">
        <v>35</v>
      </c>
      <c r="E190" t="s">
        <v>27</v>
      </c>
      <c r="F190" t="s">
        <v>15</v>
      </c>
      <c r="G190" s="3">
        <v>4009.04</v>
      </c>
      <c r="H190" s="3">
        <v>3032.02</v>
      </c>
      <c r="I190" s="3">
        <v>288.58999999999997</v>
      </c>
      <c r="J190">
        <v>1</v>
      </c>
    </row>
    <row r="191" spans="1:10" x14ac:dyDescent="0.3">
      <c r="A191" t="s">
        <v>364</v>
      </c>
      <c r="B191" t="s">
        <v>57</v>
      </c>
      <c r="C191" t="s">
        <v>18</v>
      </c>
      <c r="D191" t="s">
        <v>60</v>
      </c>
      <c r="E191" t="s">
        <v>23</v>
      </c>
      <c r="F191" t="s">
        <v>15</v>
      </c>
      <c r="G191" s="3">
        <v>1482.07</v>
      </c>
      <c r="H191" s="3">
        <v>937.99</v>
      </c>
      <c r="I191" s="3">
        <v>476.46</v>
      </c>
      <c r="J191">
        <v>1</v>
      </c>
    </row>
    <row r="192" spans="1:10" x14ac:dyDescent="0.3">
      <c r="A192" t="s">
        <v>365</v>
      </c>
      <c r="B192" t="s">
        <v>296</v>
      </c>
      <c r="C192" t="s">
        <v>25</v>
      </c>
      <c r="D192" t="s">
        <v>26</v>
      </c>
      <c r="E192" t="s">
        <v>27</v>
      </c>
      <c r="F192" t="s">
        <v>15</v>
      </c>
      <c r="G192" s="3">
        <v>17070.7</v>
      </c>
      <c r="H192" s="3">
        <v>10054.6</v>
      </c>
      <c r="I192" s="3">
        <v>373.63</v>
      </c>
      <c r="J192">
        <v>5</v>
      </c>
    </row>
    <row r="193" spans="1:10" x14ac:dyDescent="0.3">
      <c r="A193" t="s">
        <v>366</v>
      </c>
      <c r="B193" t="s">
        <v>367</v>
      </c>
      <c r="C193" t="s">
        <v>18</v>
      </c>
      <c r="D193" t="s">
        <v>55</v>
      </c>
      <c r="E193" t="s">
        <v>38</v>
      </c>
      <c r="F193" t="s">
        <v>15</v>
      </c>
      <c r="G193" s="3">
        <v>243.99</v>
      </c>
      <c r="H193" s="3">
        <v>181.76</v>
      </c>
      <c r="I193" s="3">
        <v>211.59</v>
      </c>
      <c r="J193">
        <v>1</v>
      </c>
    </row>
    <row r="194" spans="1:10" x14ac:dyDescent="0.3">
      <c r="A194" t="s">
        <v>368</v>
      </c>
      <c r="B194" t="s">
        <v>245</v>
      </c>
      <c r="C194" t="s">
        <v>18</v>
      </c>
      <c r="D194" t="s">
        <v>55</v>
      </c>
      <c r="E194" t="s">
        <v>38</v>
      </c>
      <c r="F194" t="s">
        <v>20</v>
      </c>
      <c r="G194" s="3">
        <v>19184.64</v>
      </c>
      <c r="H194" s="3">
        <v>12362.55</v>
      </c>
      <c r="I194" s="3">
        <v>357.42</v>
      </c>
      <c r="J194">
        <v>4</v>
      </c>
    </row>
    <row r="195" spans="1:10" x14ac:dyDescent="0.3">
      <c r="A195" t="s">
        <v>369</v>
      </c>
      <c r="B195" t="s">
        <v>161</v>
      </c>
      <c r="C195" t="s">
        <v>18</v>
      </c>
      <c r="D195" t="s">
        <v>55</v>
      </c>
      <c r="E195" t="s">
        <v>14</v>
      </c>
      <c r="F195" t="s">
        <v>20</v>
      </c>
      <c r="G195" s="3">
        <v>4793.84</v>
      </c>
      <c r="H195" s="3">
        <v>3330.8</v>
      </c>
      <c r="I195" s="3">
        <v>367.11</v>
      </c>
      <c r="J195">
        <v>4</v>
      </c>
    </row>
    <row r="196" spans="1:10" x14ac:dyDescent="0.3">
      <c r="A196" t="s">
        <v>370</v>
      </c>
      <c r="B196" t="s">
        <v>62</v>
      </c>
      <c r="C196" t="s">
        <v>12</v>
      </c>
      <c r="D196" t="s">
        <v>35</v>
      </c>
      <c r="E196" t="s">
        <v>14</v>
      </c>
      <c r="F196" t="s">
        <v>15</v>
      </c>
      <c r="G196" s="3">
        <v>13582.23</v>
      </c>
      <c r="H196" s="3">
        <v>7598.16</v>
      </c>
      <c r="I196" s="3">
        <v>411.89</v>
      </c>
      <c r="J196">
        <v>3</v>
      </c>
    </row>
    <row r="197" spans="1:10" x14ac:dyDescent="0.3">
      <c r="A197" t="s">
        <v>371</v>
      </c>
      <c r="B197" t="s">
        <v>372</v>
      </c>
      <c r="C197" t="s">
        <v>18</v>
      </c>
      <c r="D197" t="s">
        <v>55</v>
      </c>
      <c r="E197" t="s">
        <v>23</v>
      </c>
      <c r="F197" t="s">
        <v>20</v>
      </c>
      <c r="G197" s="3">
        <v>3548.44</v>
      </c>
      <c r="H197" s="3">
        <v>1968.13</v>
      </c>
      <c r="I197" s="3">
        <v>427.04</v>
      </c>
      <c r="J197">
        <v>1</v>
      </c>
    </row>
    <row r="198" spans="1:10" x14ac:dyDescent="0.3">
      <c r="A198" t="s">
        <v>373</v>
      </c>
      <c r="B198" t="s">
        <v>374</v>
      </c>
      <c r="C198" t="s">
        <v>25</v>
      </c>
      <c r="D198" t="s">
        <v>30</v>
      </c>
      <c r="E198" t="s">
        <v>27</v>
      </c>
      <c r="F198" t="s">
        <v>15</v>
      </c>
      <c r="G198" s="3">
        <v>7668.18</v>
      </c>
      <c r="H198" s="3">
        <v>4614.7</v>
      </c>
      <c r="I198" s="3">
        <v>273.2</v>
      </c>
      <c r="J198">
        <v>2</v>
      </c>
    </row>
    <row r="199" spans="1:10" x14ac:dyDescent="0.3">
      <c r="A199" t="s">
        <v>375</v>
      </c>
      <c r="B199" t="s">
        <v>376</v>
      </c>
      <c r="C199" t="s">
        <v>25</v>
      </c>
      <c r="D199" t="s">
        <v>43</v>
      </c>
      <c r="E199" t="s">
        <v>27</v>
      </c>
      <c r="F199" t="s">
        <v>15</v>
      </c>
      <c r="G199" s="3">
        <v>16493.150000000001</v>
      </c>
      <c r="H199" s="3">
        <v>11285.07</v>
      </c>
      <c r="I199" s="3">
        <v>448.29</v>
      </c>
      <c r="J199">
        <v>5</v>
      </c>
    </row>
    <row r="200" spans="1:10" x14ac:dyDescent="0.3">
      <c r="A200" t="s">
        <v>377</v>
      </c>
      <c r="B200" t="s">
        <v>378</v>
      </c>
      <c r="C200" t="s">
        <v>18</v>
      </c>
      <c r="D200" t="s">
        <v>55</v>
      </c>
      <c r="E200" t="s">
        <v>27</v>
      </c>
      <c r="F200" t="s">
        <v>15</v>
      </c>
      <c r="G200" s="3">
        <v>4706.0200000000004</v>
      </c>
      <c r="H200" s="3">
        <v>3464.94</v>
      </c>
      <c r="I200" s="3">
        <v>202.34</v>
      </c>
      <c r="J200">
        <v>1</v>
      </c>
    </row>
    <row r="201" spans="1:10" x14ac:dyDescent="0.3">
      <c r="A201" t="s">
        <v>379</v>
      </c>
      <c r="B201" t="s">
        <v>74</v>
      </c>
      <c r="C201" t="s">
        <v>18</v>
      </c>
      <c r="D201" t="s">
        <v>46</v>
      </c>
      <c r="E201" t="s">
        <v>38</v>
      </c>
      <c r="F201" t="s">
        <v>15</v>
      </c>
      <c r="G201" s="3">
        <v>24605.200000000001</v>
      </c>
      <c r="H201" s="3">
        <v>14548.91</v>
      </c>
      <c r="I201" s="3">
        <v>166.86</v>
      </c>
      <c r="J2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Pofi by region</vt:lpstr>
      <vt:lpstr>prof by sal and prof</vt:lpstr>
      <vt:lpstr>Prod cat marg distribu</vt:lpstr>
      <vt:lpstr>Sheet8</vt:lpstr>
      <vt:lpstr>Main_Sheet</vt:lpstr>
      <vt:lpstr>Raw_Sheet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mcanroe.mofokeng@onecell.co.za</cp:lastModifiedBy>
  <dcterms:created xsi:type="dcterms:W3CDTF">2026-02-11T09:43:18Z</dcterms:created>
  <dcterms:modified xsi:type="dcterms:W3CDTF">2026-02-25T12:09:20Z</dcterms:modified>
</cp:coreProperties>
</file>